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ubic992\Desktop\"/>
    </mc:Choice>
  </mc:AlternateContent>
  <xr:revisionPtr revIDLastSave="0" documentId="13_ncr:1_{F0078CB7-4EB2-4BBF-AC3C-FF3FAD97DDB7}" xr6:coauthVersionLast="47" xr6:coauthVersionMax="47" xr10:uidLastSave="{00000000-0000-0000-0000-000000000000}"/>
  <bookViews>
    <workbookView xWindow="4545" yWindow="1830" windowWidth="21900" windowHeight="11955" xr2:uid="{00000000-000D-0000-FFFF-FFFF00000000}"/>
  </bookViews>
  <sheets>
    <sheet name="K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3" i="1" l="1"/>
  <c r="N12" i="1"/>
  <c r="T11" i="1"/>
  <c r="T9" i="1"/>
  <c r="T19" i="1"/>
  <c r="N18" i="1"/>
  <c r="T17" i="1"/>
  <c r="T15" i="1"/>
  <c r="T25" i="1"/>
  <c r="N24" i="1"/>
  <c r="T23" i="1"/>
  <c r="T21" i="1"/>
  <c r="T31" i="1"/>
  <c r="N30" i="1"/>
  <c r="T29" i="1"/>
  <c r="T27" i="1"/>
  <c r="T38" i="1"/>
  <c r="N37" i="1"/>
  <c r="T36" i="1"/>
  <c r="T34" i="1"/>
  <c r="T1278" i="1"/>
  <c r="N1277" i="1"/>
  <c r="T1276" i="1"/>
  <c r="T1274" i="1"/>
  <c r="T1272" i="1"/>
  <c r="N1271" i="1"/>
  <c r="T1270" i="1"/>
  <c r="T1268" i="1"/>
  <c r="T1266" i="1"/>
  <c r="N1265" i="1"/>
  <c r="T1264" i="1"/>
  <c r="T1262" i="1"/>
  <c r="T1260" i="1"/>
  <c r="N1259" i="1"/>
  <c r="T1258" i="1"/>
  <c r="T1256" i="1"/>
  <c r="T1254" i="1"/>
  <c r="N1253" i="1"/>
  <c r="T1252" i="1"/>
  <c r="T1250" i="1"/>
  <c r="T1246" i="1"/>
  <c r="N1245" i="1"/>
  <c r="T1244" i="1"/>
  <c r="T1242" i="1"/>
  <c r="T1240" i="1"/>
  <c r="N1239" i="1"/>
  <c r="T1238" i="1"/>
  <c r="T1236" i="1"/>
  <c r="T1234" i="1"/>
  <c r="N1233" i="1"/>
  <c r="T1232" i="1"/>
  <c r="T1230" i="1"/>
  <c r="T1228" i="1"/>
  <c r="N1227" i="1"/>
  <c r="T1226" i="1"/>
  <c r="T1224" i="1"/>
  <c r="T1222" i="1"/>
  <c r="N1221" i="1"/>
  <c r="T1220" i="1"/>
  <c r="T1218" i="1"/>
  <c r="T1214" i="1"/>
  <c r="N1213" i="1"/>
  <c r="T1212" i="1"/>
  <c r="T1210" i="1"/>
  <c r="T1208" i="1"/>
  <c r="N1207" i="1"/>
  <c r="T1206" i="1"/>
  <c r="T1204" i="1"/>
  <c r="T1202" i="1"/>
  <c r="N1201" i="1"/>
  <c r="T1200" i="1"/>
  <c r="T1198" i="1"/>
  <c r="T1196" i="1"/>
  <c r="N1195" i="1"/>
  <c r="T1194" i="1"/>
  <c r="T1192" i="1"/>
  <c r="T1190" i="1"/>
  <c r="N1189" i="1"/>
  <c r="T1188" i="1"/>
  <c r="T1186" i="1"/>
  <c r="T1182" i="1"/>
  <c r="N1181" i="1"/>
  <c r="T1180" i="1"/>
  <c r="T1178" i="1"/>
  <c r="T1176" i="1"/>
  <c r="N1175" i="1"/>
  <c r="T1174" i="1"/>
  <c r="T1172" i="1"/>
  <c r="T1170" i="1"/>
  <c r="N1169" i="1"/>
  <c r="T1168" i="1"/>
  <c r="T1166" i="1"/>
  <c r="T1164" i="1"/>
  <c r="N1163" i="1"/>
  <c r="T1162" i="1"/>
  <c r="T1160" i="1"/>
  <c r="T1158" i="1"/>
  <c r="N1157" i="1"/>
  <c r="T1156" i="1"/>
  <c r="T1154" i="1"/>
  <c r="T1150" i="1"/>
  <c r="N1149" i="1"/>
  <c r="T1148" i="1"/>
  <c r="T1146" i="1"/>
  <c r="T1144" i="1"/>
  <c r="N1143" i="1"/>
  <c r="T1142" i="1"/>
  <c r="T1140" i="1"/>
  <c r="T1138" i="1"/>
  <c r="N1137" i="1"/>
  <c r="T1136" i="1"/>
  <c r="T1134" i="1"/>
  <c r="T1132" i="1"/>
  <c r="N1131" i="1"/>
  <c r="T1130" i="1"/>
  <c r="T1128" i="1"/>
  <c r="T1126" i="1"/>
  <c r="N1125" i="1"/>
  <c r="T1124" i="1"/>
  <c r="T1122" i="1"/>
  <c r="T1118" i="1"/>
  <c r="N1117" i="1"/>
  <c r="T1116" i="1"/>
  <c r="T1114" i="1"/>
  <c r="T1112" i="1"/>
  <c r="N1111" i="1"/>
  <c r="T1110" i="1"/>
  <c r="T1108" i="1"/>
  <c r="T1106" i="1"/>
  <c r="N1105" i="1"/>
  <c r="T1104" i="1"/>
  <c r="T1102" i="1"/>
  <c r="T1100" i="1"/>
  <c r="N1099" i="1"/>
  <c r="T1098" i="1"/>
  <c r="T1096" i="1"/>
  <c r="T1094" i="1"/>
  <c r="N1093" i="1"/>
  <c r="T1092" i="1"/>
  <c r="T1090" i="1"/>
  <c r="T1086" i="1"/>
  <c r="N1085" i="1"/>
  <c r="T1084" i="1"/>
  <c r="T1082" i="1"/>
  <c r="T1080" i="1"/>
  <c r="N1079" i="1"/>
  <c r="T1078" i="1"/>
  <c r="T1076" i="1"/>
  <c r="T1074" i="1"/>
  <c r="N1073" i="1"/>
  <c r="T1072" i="1"/>
  <c r="T1070" i="1"/>
  <c r="T1068" i="1"/>
  <c r="N1067" i="1"/>
  <c r="T1066" i="1"/>
  <c r="T1064" i="1"/>
  <c r="T1062" i="1"/>
  <c r="N1061" i="1"/>
  <c r="T1060" i="1"/>
  <c r="T1058" i="1"/>
  <c r="T1054" i="1"/>
  <c r="N1053" i="1"/>
  <c r="T1052" i="1"/>
  <c r="T1050" i="1"/>
  <c r="T1048" i="1"/>
  <c r="N1047" i="1"/>
  <c r="T1046" i="1"/>
  <c r="T1044" i="1"/>
  <c r="T1042" i="1"/>
  <c r="N1041" i="1"/>
  <c r="T1040" i="1"/>
  <c r="T1038" i="1"/>
  <c r="T1036" i="1"/>
  <c r="N1035" i="1"/>
  <c r="T1034" i="1"/>
  <c r="T1032" i="1"/>
  <c r="T1030" i="1"/>
  <c r="N1029" i="1"/>
  <c r="T1028" i="1"/>
  <c r="T1026" i="1"/>
  <c r="T1022" i="1"/>
  <c r="N1021" i="1"/>
  <c r="T1020" i="1"/>
  <c r="T1018" i="1"/>
  <c r="T1016" i="1"/>
  <c r="N1015" i="1"/>
  <c r="T1014" i="1"/>
  <c r="T1012" i="1"/>
  <c r="T1010" i="1"/>
  <c r="N1009" i="1"/>
  <c r="T1008" i="1"/>
  <c r="T1006" i="1"/>
  <c r="T1004" i="1"/>
  <c r="N1003" i="1"/>
  <c r="T1002" i="1"/>
  <c r="T1000" i="1"/>
  <c r="T998" i="1"/>
  <c r="N997" i="1"/>
  <c r="T996" i="1"/>
  <c r="T994" i="1"/>
  <c r="T990" i="1"/>
  <c r="N989" i="1"/>
  <c r="T988" i="1"/>
  <c r="T986" i="1"/>
  <c r="T984" i="1"/>
  <c r="N983" i="1"/>
  <c r="T982" i="1"/>
  <c r="T980" i="1"/>
  <c r="T978" i="1"/>
  <c r="N977" i="1"/>
  <c r="T976" i="1"/>
  <c r="T974" i="1"/>
  <c r="T972" i="1"/>
  <c r="N971" i="1"/>
  <c r="T970" i="1"/>
  <c r="T968" i="1"/>
  <c r="T966" i="1"/>
  <c r="N965" i="1"/>
  <c r="T964" i="1"/>
  <c r="T962" i="1"/>
  <c r="T958" i="1"/>
  <c r="N957" i="1"/>
  <c r="T956" i="1"/>
  <c r="T954" i="1"/>
  <c r="T952" i="1"/>
  <c r="N951" i="1"/>
  <c r="T950" i="1"/>
  <c r="T948" i="1"/>
  <c r="T946" i="1"/>
  <c r="N945" i="1"/>
  <c r="T944" i="1"/>
  <c r="T942" i="1"/>
  <c r="T940" i="1"/>
  <c r="N939" i="1"/>
  <c r="T938" i="1"/>
  <c r="T936" i="1"/>
  <c r="T934" i="1"/>
  <c r="N933" i="1"/>
  <c r="T932" i="1"/>
  <c r="T930" i="1"/>
  <c r="T926" i="1"/>
  <c r="N925" i="1"/>
  <c r="T924" i="1"/>
  <c r="T922" i="1"/>
  <c r="T920" i="1"/>
  <c r="N919" i="1"/>
  <c r="T918" i="1"/>
  <c r="T916" i="1"/>
  <c r="T914" i="1"/>
  <c r="N913" i="1"/>
  <c r="T912" i="1"/>
  <c r="T910" i="1"/>
  <c r="T908" i="1"/>
  <c r="N907" i="1"/>
  <c r="T906" i="1"/>
  <c r="T904" i="1"/>
  <c r="T902" i="1"/>
  <c r="N901" i="1"/>
  <c r="T900" i="1"/>
  <c r="T898" i="1"/>
  <c r="T894" i="1"/>
  <c r="N893" i="1"/>
  <c r="T892" i="1"/>
  <c r="T890" i="1"/>
  <c r="T888" i="1"/>
  <c r="N887" i="1"/>
  <c r="T886" i="1"/>
  <c r="T884" i="1"/>
  <c r="T882" i="1"/>
  <c r="N881" i="1"/>
  <c r="T880" i="1"/>
  <c r="T878" i="1"/>
  <c r="T876" i="1"/>
  <c r="N875" i="1"/>
  <c r="T874" i="1"/>
  <c r="T872" i="1"/>
  <c r="T870" i="1"/>
  <c r="N869" i="1"/>
  <c r="T868" i="1"/>
  <c r="T866" i="1"/>
  <c r="T862" i="1"/>
  <c r="N861" i="1"/>
  <c r="T860" i="1"/>
  <c r="T858" i="1"/>
  <c r="T856" i="1"/>
  <c r="N855" i="1"/>
  <c r="T854" i="1"/>
  <c r="T852" i="1"/>
  <c r="T850" i="1"/>
  <c r="N849" i="1"/>
  <c r="T848" i="1"/>
  <c r="T846" i="1"/>
  <c r="T844" i="1"/>
  <c r="N843" i="1"/>
  <c r="T842" i="1"/>
  <c r="T840" i="1"/>
  <c r="T838" i="1"/>
  <c r="N837" i="1"/>
  <c r="T836" i="1"/>
  <c r="T834" i="1"/>
  <c r="T830" i="1"/>
  <c r="N829" i="1"/>
  <c r="T828" i="1"/>
  <c r="T826" i="1"/>
  <c r="T824" i="1"/>
  <c r="N823" i="1"/>
  <c r="T822" i="1"/>
  <c r="T820" i="1"/>
  <c r="T818" i="1"/>
  <c r="N817" i="1"/>
  <c r="T816" i="1"/>
  <c r="T814" i="1"/>
  <c r="T812" i="1"/>
  <c r="N811" i="1"/>
  <c r="T810" i="1"/>
  <c r="T808" i="1"/>
  <c r="T806" i="1"/>
  <c r="N805" i="1"/>
  <c r="T804" i="1"/>
  <c r="T802" i="1"/>
  <c r="T798" i="1"/>
  <c r="N797" i="1"/>
  <c r="T796" i="1"/>
  <c r="T794" i="1"/>
  <c r="T792" i="1"/>
  <c r="N791" i="1"/>
  <c r="T790" i="1"/>
  <c r="T788" i="1"/>
  <c r="T786" i="1"/>
  <c r="N785" i="1"/>
  <c r="T784" i="1"/>
  <c r="T782" i="1"/>
  <c r="T780" i="1"/>
  <c r="N779" i="1"/>
  <c r="T778" i="1"/>
  <c r="T776" i="1"/>
  <c r="T774" i="1"/>
  <c r="N773" i="1"/>
  <c r="T772" i="1"/>
  <c r="T770" i="1"/>
  <c r="T766" i="1"/>
  <c r="N765" i="1"/>
  <c r="T764" i="1"/>
  <c r="T762" i="1"/>
  <c r="T760" i="1"/>
  <c r="N759" i="1"/>
  <c r="T758" i="1"/>
  <c r="T756" i="1"/>
  <c r="T754" i="1"/>
  <c r="N753" i="1"/>
  <c r="T752" i="1"/>
  <c r="T750" i="1"/>
  <c r="T748" i="1"/>
  <c r="N747" i="1"/>
  <c r="T746" i="1"/>
  <c r="T744" i="1"/>
  <c r="T742" i="1"/>
  <c r="N741" i="1"/>
  <c r="T740" i="1"/>
  <c r="T738" i="1"/>
  <c r="T734" i="1"/>
  <c r="N733" i="1"/>
  <c r="T732" i="1"/>
  <c r="T730" i="1"/>
  <c r="T728" i="1"/>
  <c r="N727" i="1"/>
  <c r="T726" i="1"/>
  <c r="T724" i="1"/>
  <c r="T722" i="1"/>
  <c r="N721" i="1"/>
  <c r="T720" i="1"/>
  <c r="T718" i="1"/>
  <c r="T716" i="1"/>
  <c r="N715" i="1"/>
  <c r="T714" i="1"/>
  <c r="T712" i="1"/>
  <c r="T710" i="1"/>
  <c r="N709" i="1"/>
  <c r="T708" i="1"/>
  <c r="T706" i="1"/>
  <c r="T702" i="1"/>
  <c r="N701" i="1"/>
  <c r="T700" i="1"/>
  <c r="T698" i="1"/>
  <c r="T696" i="1"/>
  <c r="N695" i="1"/>
  <c r="T694" i="1"/>
  <c r="T692" i="1"/>
  <c r="T690" i="1"/>
  <c r="N689" i="1"/>
  <c r="T688" i="1"/>
  <c r="T686" i="1"/>
  <c r="T684" i="1"/>
  <c r="N683" i="1"/>
  <c r="T682" i="1"/>
  <c r="T680" i="1"/>
  <c r="T678" i="1"/>
  <c r="N677" i="1"/>
  <c r="T676" i="1"/>
  <c r="T674" i="1"/>
  <c r="T670" i="1"/>
  <c r="N669" i="1"/>
  <c r="T668" i="1"/>
  <c r="T666" i="1"/>
  <c r="T664" i="1"/>
  <c r="N663" i="1"/>
  <c r="T662" i="1"/>
  <c r="T660" i="1"/>
  <c r="T658" i="1"/>
  <c r="N657" i="1"/>
  <c r="T656" i="1"/>
  <c r="T654" i="1"/>
  <c r="T652" i="1"/>
  <c r="N651" i="1"/>
  <c r="T650" i="1"/>
  <c r="T648" i="1"/>
  <c r="T646" i="1"/>
  <c r="N645" i="1"/>
  <c r="T644" i="1"/>
  <c r="T642" i="1"/>
  <c r="T638" i="1"/>
  <c r="N637" i="1"/>
  <c r="T636" i="1"/>
  <c r="T634" i="1"/>
  <c r="T632" i="1"/>
  <c r="N631" i="1"/>
  <c r="T630" i="1"/>
  <c r="T628" i="1"/>
  <c r="T626" i="1"/>
  <c r="N625" i="1"/>
  <c r="T624" i="1"/>
  <c r="T622" i="1"/>
  <c r="T620" i="1"/>
  <c r="N619" i="1"/>
  <c r="T618" i="1"/>
  <c r="T616" i="1"/>
  <c r="T614" i="1"/>
  <c r="N613" i="1"/>
  <c r="T612" i="1"/>
  <c r="T610" i="1"/>
  <c r="T606" i="1"/>
  <c r="N605" i="1"/>
  <c r="T604" i="1"/>
  <c r="T602" i="1"/>
  <c r="T600" i="1"/>
  <c r="N599" i="1"/>
  <c r="T598" i="1"/>
  <c r="T596" i="1"/>
  <c r="T594" i="1"/>
  <c r="N593" i="1"/>
  <c r="T592" i="1"/>
  <c r="T590" i="1"/>
  <c r="T588" i="1"/>
  <c r="N587" i="1"/>
  <c r="T586" i="1"/>
  <c r="T584" i="1"/>
  <c r="T582" i="1"/>
  <c r="N581" i="1"/>
  <c r="T580" i="1"/>
  <c r="T578" i="1"/>
  <c r="T574" i="1"/>
  <c r="N573" i="1"/>
  <c r="T572" i="1"/>
  <c r="T570" i="1"/>
  <c r="T568" i="1"/>
  <c r="N567" i="1"/>
  <c r="T566" i="1"/>
  <c r="T564" i="1"/>
  <c r="T562" i="1"/>
  <c r="N561" i="1"/>
  <c r="T560" i="1"/>
  <c r="T558" i="1"/>
  <c r="T556" i="1"/>
  <c r="N555" i="1"/>
  <c r="T554" i="1"/>
  <c r="T552" i="1"/>
  <c r="T550" i="1"/>
  <c r="N549" i="1"/>
  <c r="T548" i="1"/>
  <c r="T546" i="1"/>
  <c r="T542" i="1"/>
  <c r="N541" i="1"/>
  <c r="T540" i="1"/>
  <c r="T538" i="1"/>
  <c r="T536" i="1"/>
  <c r="N535" i="1"/>
  <c r="T534" i="1"/>
  <c r="T532" i="1"/>
  <c r="T530" i="1"/>
  <c r="N529" i="1"/>
  <c r="T528" i="1"/>
  <c r="T526" i="1"/>
  <c r="T524" i="1"/>
  <c r="N523" i="1"/>
  <c r="T522" i="1"/>
  <c r="T520" i="1"/>
  <c r="T518" i="1"/>
  <c r="N517" i="1"/>
  <c r="T516" i="1"/>
  <c r="T514" i="1"/>
  <c r="T510" i="1"/>
  <c r="N509" i="1"/>
  <c r="T508" i="1"/>
  <c r="T506" i="1"/>
  <c r="T504" i="1"/>
  <c r="N503" i="1"/>
  <c r="T502" i="1"/>
  <c r="T500" i="1"/>
  <c r="T498" i="1"/>
  <c r="N497" i="1"/>
  <c r="T496" i="1"/>
  <c r="T494" i="1"/>
  <c r="T492" i="1"/>
  <c r="N491" i="1"/>
  <c r="T490" i="1"/>
  <c r="T488" i="1"/>
  <c r="T486" i="1"/>
  <c r="N485" i="1"/>
  <c r="T484" i="1"/>
  <c r="T482" i="1"/>
  <c r="T478" i="1"/>
  <c r="N477" i="1"/>
  <c r="T476" i="1"/>
  <c r="T474" i="1"/>
  <c r="T472" i="1"/>
  <c r="N471" i="1"/>
  <c r="T470" i="1"/>
  <c r="T468" i="1"/>
  <c r="T466" i="1"/>
  <c r="N465" i="1"/>
  <c r="T464" i="1"/>
  <c r="T462" i="1"/>
  <c r="T460" i="1"/>
  <c r="N459" i="1"/>
  <c r="T458" i="1"/>
  <c r="T456" i="1"/>
  <c r="T454" i="1"/>
  <c r="N453" i="1"/>
  <c r="T452" i="1"/>
  <c r="T450" i="1"/>
  <c r="T446" i="1"/>
  <c r="N445" i="1"/>
  <c r="T444" i="1"/>
  <c r="T442" i="1"/>
  <c r="T440" i="1"/>
  <c r="N439" i="1"/>
  <c r="T438" i="1"/>
  <c r="T436" i="1"/>
  <c r="T434" i="1"/>
  <c r="N433" i="1"/>
  <c r="T432" i="1"/>
  <c r="T430" i="1"/>
  <c r="T428" i="1"/>
  <c r="N427" i="1"/>
  <c r="T426" i="1"/>
  <c r="T424" i="1"/>
  <c r="T422" i="1"/>
  <c r="N421" i="1"/>
  <c r="T420" i="1"/>
  <c r="T418" i="1"/>
  <c r="T414" i="1"/>
  <c r="N413" i="1"/>
  <c r="T412" i="1"/>
  <c r="T410" i="1"/>
  <c r="T408" i="1"/>
  <c r="N407" i="1"/>
  <c r="T406" i="1"/>
  <c r="T404" i="1"/>
  <c r="T402" i="1"/>
  <c r="N401" i="1"/>
  <c r="T400" i="1"/>
  <c r="T398" i="1"/>
  <c r="T396" i="1"/>
  <c r="N395" i="1"/>
  <c r="T394" i="1"/>
  <c r="T392" i="1"/>
  <c r="T390" i="1"/>
  <c r="N389" i="1"/>
  <c r="T388" i="1"/>
  <c r="T386" i="1"/>
  <c r="T382" i="1"/>
  <c r="N381" i="1"/>
  <c r="T380" i="1"/>
  <c r="T378" i="1"/>
  <c r="T376" i="1"/>
  <c r="N375" i="1"/>
  <c r="T374" i="1"/>
  <c r="T372" i="1"/>
  <c r="T370" i="1"/>
  <c r="N369" i="1"/>
  <c r="T368" i="1"/>
  <c r="T366" i="1"/>
  <c r="T364" i="1"/>
  <c r="N363" i="1"/>
  <c r="T362" i="1"/>
  <c r="T360" i="1"/>
  <c r="T358" i="1"/>
  <c r="N357" i="1"/>
  <c r="T356" i="1"/>
  <c r="T354" i="1"/>
  <c r="T350" i="1"/>
  <c r="N349" i="1"/>
  <c r="T348" i="1"/>
  <c r="T346" i="1"/>
  <c r="T344" i="1"/>
  <c r="N343" i="1"/>
  <c r="T342" i="1"/>
  <c r="T340" i="1"/>
  <c r="T338" i="1"/>
  <c r="N337" i="1"/>
  <c r="T336" i="1"/>
  <c r="T334" i="1"/>
  <c r="T332" i="1"/>
  <c r="N331" i="1"/>
  <c r="T330" i="1"/>
  <c r="T328" i="1"/>
  <c r="T326" i="1"/>
  <c r="N325" i="1"/>
  <c r="T324" i="1"/>
  <c r="T322" i="1"/>
  <c r="T318" i="1"/>
  <c r="N317" i="1"/>
  <c r="T316" i="1"/>
  <c r="T314" i="1"/>
  <c r="T312" i="1"/>
  <c r="N311" i="1"/>
  <c r="T310" i="1"/>
  <c r="T308" i="1"/>
  <c r="T306" i="1"/>
  <c r="N305" i="1"/>
  <c r="T304" i="1"/>
  <c r="T302" i="1"/>
  <c r="T300" i="1"/>
  <c r="N299" i="1"/>
  <c r="T298" i="1"/>
  <c r="T296" i="1"/>
  <c r="T294" i="1"/>
  <c r="N293" i="1"/>
  <c r="T292" i="1"/>
  <c r="T290" i="1"/>
  <c r="T286" i="1"/>
  <c r="N285" i="1"/>
  <c r="T284" i="1"/>
  <c r="T282" i="1"/>
  <c r="T280" i="1"/>
  <c r="N279" i="1"/>
  <c r="T278" i="1"/>
  <c r="T276" i="1"/>
  <c r="T274" i="1"/>
  <c r="N273" i="1"/>
  <c r="T272" i="1"/>
  <c r="T270" i="1"/>
  <c r="T268" i="1"/>
  <c r="N267" i="1"/>
  <c r="T266" i="1"/>
  <c r="T264" i="1"/>
  <c r="T262" i="1"/>
  <c r="N261" i="1"/>
  <c r="T260" i="1"/>
  <c r="T258" i="1"/>
  <c r="T254" i="1"/>
  <c r="N253" i="1"/>
  <c r="T252" i="1"/>
  <c r="T250" i="1"/>
  <c r="T248" i="1"/>
  <c r="N247" i="1"/>
  <c r="T246" i="1"/>
  <c r="T244" i="1"/>
  <c r="T242" i="1"/>
  <c r="N241" i="1"/>
  <c r="T240" i="1"/>
  <c r="T238" i="1"/>
  <c r="T236" i="1"/>
  <c r="N235" i="1"/>
  <c r="T234" i="1"/>
  <c r="T232" i="1"/>
  <c r="T230" i="1"/>
  <c r="N229" i="1"/>
  <c r="T228" i="1"/>
  <c r="T226" i="1"/>
  <c r="T222" i="1"/>
  <c r="N221" i="1"/>
  <c r="T220" i="1"/>
  <c r="T218" i="1"/>
  <c r="T216" i="1"/>
  <c r="N215" i="1"/>
  <c r="T214" i="1"/>
  <c r="T212" i="1"/>
  <c r="T210" i="1"/>
  <c r="N209" i="1"/>
  <c r="T208" i="1"/>
  <c r="T206" i="1"/>
  <c r="T204" i="1"/>
  <c r="N203" i="1"/>
  <c r="T202" i="1"/>
  <c r="T200" i="1"/>
  <c r="T198" i="1"/>
  <c r="N197" i="1"/>
  <c r="T196" i="1"/>
  <c r="T194" i="1"/>
  <c r="T190" i="1"/>
  <c r="N189" i="1"/>
  <c r="T188" i="1"/>
  <c r="T186" i="1"/>
  <c r="T184" i="1"/>
  <c r="N183" i="1"/>
  <c r="T182" i="1"/>
  <c r="T180" i="1"/>
  <c r="T178" i="1"/>
  <c r="N177" i="1"/>
  <c r="T176" i="1"/>
  <c r="T174" i="1"/>
  <c r="T172" i="1"/>
  <c r="N171" i="1"/>
  <c r="T170" i="1"/>
  <c r="T168" i="1"/>
  <c r="T166" i="1"/>
  <c r="N165" i="1"/>
  <c r="T164" i="1"/>
  <c r="T162" i="1"/>
  <c r="T158" i="1"/>
  <c r="N157" i="1"/>
  <c r="T156" i="1"/>
  <c r="T154" i="1"/>
  <c r="T152" i="1"/>
  <c r="N151" i="1"/>
  <c r="T150" i="1"/>
  <c r="T148" i="1"/>
  <c r="T146" i="1"/>
  <c r="N145" i="1"/>
  <c r="T144" i="1"/>
  <c r="T142" i="1"/>
  <c r="T140" i="1"/>
  <c r="N139" i="1"/>
  <c r="T138" i="1"/>
  <c r="T136" i="1"/>
  <c r="T134" i="1"/>
  <c r="N133" i="1"/>
  <c r="T132" i="1"/>
  <c r="T130" i="1"/>
  <c r="T126" i="1"/>
  <c r="N125" i="1"/>
  <c r="T124" i="1"/>
  <c r="T122" i="1"/>
  <c r="T120" i="1"/>
  <c r="N119" i="1"/>
  <c r="T118" i="1"/>
  <c r="T116" i="1"/>
  <c r="T114" i="1"/>
  <c r="N113" i="1"/>
  <c r="T112" i="1"/>
  <c r="T110" i="1"/>
  <c r="T108" i="1"/>
  <c r="N107" i="1"/>
  <c r="T106" i="1"/>
  <c r="T104" i="1"/>
  <c r="T102" i="1"/>
  <c r="N101" i="1"/>
  <c r="T100" i="1"/>
  <c r="T98" i="1"/>
  <c r="T94" i="1"/>
  <c r="N93" i="1"/>
  <c r="T92" i="1"/>
  <c r="T90" i="1"/>
  <c r="T88" i="1"/>
  <c r="N87" i="1"/>
  <c r="T86" i="1"/>
  <c r="T84" i="1"/>
  <c r="T82" i="1"/>
  <c r="N81" i="1"/>
  <c r="T80" i="1"/>
  <c r="T78" i="1"/>
  <c r="T76" i="1"/>
  <c r="N75" i="1"/>
  <c r="T74" i="1"/>
  <c r="T72" i="1"/>
  <c r="T70" i="1"/>
  <c r="N69" i="1"/>
  <c r="T68" i="1"/>
  <c r="T66" i="1"/>
  <c r="T62" i="1"/>
  <c r="N61" i="1"/>
  <c r="T60" i="1"/>
  <c r="T58" i="1"/>
  <c r="T56" i="1"/>
  <c r="N55" i="1"/>
  <c r="T54" i="1"/>
  <c r="T52" i="1"/>
  <c r="T50" i="1"/>
  <c r="N49" i="1"/>
  <c r="T48" i="1"/>
  <c r="T46" i="1"/>
  <c r="T44" i="1"/>
  <c r="N43" i="1"/>
  <c r="T42" i="1"/>
  <c r="T40" i="1"/>
</calcChain>
</file>

<file path=xl/sharedStrings.xml><?xml version="1.0" encoding="utf-8"?>
<sst xmlns="http://schemas.openxmlformats.org/spreadsheetml/2006/main" count="852" uniqueCount="54">
  <si>
    <t>DATA</t>
  </si>
  <si>
    <t>RODZAJ LOTU</t>
  </si>
  <si>
    <t>WARUNKI METEO</t>
  </si>
  <si>
    <t>GODZINA</t>
  </si>
  <si>
    <t>NALOT</t>
  </si>
  <si>
    <t>ELEMENTY</t>
  </si>
  <si>
    <t>UWAGI</t>
  </si>
  <si>
    <t>DZIEŃ</t>
  </si>
  <si>
    <t>TYP SP</t>
  </si>
  <si>
    <t>WYŁĄCZENIA</t>
  </si>
  <si>
    <t>DESANTOWANIE</t>
  </si>
  <si>
    <t>MINIMUM</t>
  </si>
  <si>
    <t>ICAO</t>
  </si>
  <si>
    <t>STARTU</t>
  </si>
  <si>
    <t>MSC</t>
  </si>
  <si>
    <t>VFR</t>
  </si>
  <si>
    <t>REJON</t>
  </si>
  <si>
    <t>LĄDOWANIA</t>
  </si>
  <si>
    <t>ROK</t>
  </si>
  <si>
    <t>PLF</t>
  </si>
  <si>
    <t>IFR</t>
  </si>
  <si>
    <t>SP</t>
  </si>
  <si>
    <t>ZAŁOGA SP</t>
  </si>
  <si>
    <t>START</t>
  </si>
  <si>
    <t>W NVG</t>
  </si>
  <si>
    <t>WYŁ. SILNIKA</t>
  </si>
  <si>
    <t>SYSTEM</t>
  </si>
  <si>
    <t>KONTROLE EGZAMINY  WZN.                PAX                CARGO INCYDENT</t>
  </si>
  <si>
    <t>NR BOCZNY</t>
  </si>
  <si>
    <t>TECHNIK POKŁADOWY</t>
  </si>
  <si>
    <t>TECHNIK POKŁADOWY OBSŁUGI ŁADUNKU</t>
  </si>
  <si>
    <t>CZAS PRACY                    NA ZIEMI</t>
  </si>
  <si>
    <t>INNY CZŁONEK PERSONELU</t>
  </si>
  <si>
    <t>LĄDOWANIE</t>
  </si>
  <si>
    <t>ZASŁONIĘTA  KABINA</t>
  </si>
  <si>
    <t xml:space="preserve">PILOT NA LEWYM </t>
  </si>
  <si>
    <t xml:space="preserve">PILOT NA PRAWYM </t>
  </si>
  <si>
    <r>
      <t xml:space="preserve">ĆWICZENIE/ PROFIL
</t>
    </r>
    <r>
      <rPr>
        <sz val="5"/>
        <color theme="1"/>
        <rFont val="Arial"/>
        <family val="2"/>
        <charset val="238"/>
      </rPr>
      <t>(WSZYSCY CZŁONKOWIE ZAŁOGI)</t>
    </r>
  </si>
  <si>
    <t>DZIEŃ NOC</t>
  </si>
  <si>
    <t>VMC IMC</t>
  </si>
  <si>
    <t>URUCHOM.</t>
  </si>
  <si>
    <t>WYKOŁ.</t>
  </si>
  <si>
    <t>ZAŁOGI
OD WYKOŁ.
DO WYŁ.</t>
  </si>
  <si>
    <t>GÓRAY</t>
  </si>
  <si>
    <t>MORZE</t>
  </si>
  <si>
    <t>LOTY  KOSZĄCE</t>
  </si>
  <si>
    <t>ĆW.
 PROFIL</t>
  </si>
  <si>
    <t>SZKOLENIOWY / NA POTRZEBY WŁASNE DYSPONENT</t>
  </si>
  <si>
    <t>LIMIT</t>
  </si>
  <si>
    <t xml:space="preserve">SZKOLNY / LPK TRENINGOWY OPERACYJNY </t>
  </si>
  <si>
    <t>TRASA 
STREFA 
KRĄG 
SYSTEM</t>
  </si>
  <si>
    <t>-</t>
  </si>
  <si>
    <t>CAVOK</t>
  </si>
  <si>
    <t>KSIĄŻKA EWIDENCJI LOTÓW STYCZEŃ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</si>
</sst>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415]d\ mmmm\ yyyy;@"/>
  </numFmts>
  <fonts count="1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8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theme="1"/>
      <name val="Arial"/>
      <family val="2"/>
      <charset val="238"/>
    </font>
    <font>
      <sz val="7"/>
      <color theme="1"/>
      <name val="Arial"/>
      <family val="2"/>
      <charset val="238"/>
    </font>
    <font>
      <sz val="6"/>
      <color theme="1"/>
      <name val="Arial"/>
      <family val="2"/>
      <charset val="238"/>
    </font>
    <font>
      <sz val="5"/>
      <color theme="1"/>
      <name val="Arial"/>
      <family val="2"/>
      <charset val="238"/>
    </font>
    <font>
      <b/>
      <sz val="6"/>
      <color theme="1"/>
      <name val="Arial"/>
      <family val="2"/>
      <charset val="238"/>
    </font>
    <font>
      <sz val="4"/>
      <color theme="1"/>
      <name val="Arial"/>
      <family val="2"/>
      <charset val="238"/>
    </font>
    <font>
      <b/>
      <sz val="5"/>
      <color theme="1"/>
      <name val="Arial"/>
      <family val="2"/>
      <charset val="238"/>
    </font>
    <font>
      <sz val="8"/>
      <name val="Arial"/>
      <family val="2"/>
      <charset val="238"/>
    </font>
    <font>
      <sz val="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/>
    <xf numFmtId="0" fontId="1" fillId="0" borderId="0"/>
  </cellStyleXfs>
  <cellXfs count="196">
    <xf numFmtId="0" fontId="0" fillId="0" borderId="0" xfId="0"/>
    <xf numFmtId="0" fontId="0" fillId="0" borderId="0" xfId="0" applyAlignment="1">
      <alignment horizontal="left" vertical="center"/>
    </xf>
    <xf numFmtId="20" fontId="4" fillId="0" borderId="0" xfId="0" applyNumberFormat="1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 textRotation="90" wrapText="1"/>
    </xf>
    <xf numFmtId="164" fontId="4" fillId="0" borderId="0" xfId="0" applyNumberFormat="1" applyFont="1" applyBorder="1" applyAlignment="1">
      <alignment horizontal="center" vertical="center" textRotation="90" wrapText="1"/>
    </xf>
    <xf numFmtId="0" fontId="9" fillId="0" borderId="0" xfId="0" applyFont="1" applyBorder="1" applyAlignment="1">
      <alignment horizontal="center" vertical="center" textRotation="90" wrapText="1"/>
    </xf>
    <xf numFmtId="0" fontId="11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textRotation="90" wrapText="1"/>
    </xf>
    <xf numFmtId="0" fontId="11" fillId="0" borderId="47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15" fillId="0" borderId="54" xfId="0" applyNumberFormat="1" applyFont="1" applyBorder="1" applyAlignment="1">
      <alignment horizontal="center" vertical="center" textRotation="90" wrapText="1"/>
    </xf>
    <xf numFmtId="49" fontId="15" fillId="0" borderId="32" xfId="0" applyNumberFormat="1" applyFont="1" applyBorder="1" applyAlignment="1">
      <alignment horizontal="center" vertical="center" textRotation="90" wrapText="1"/>
    </xf>
    <xf numFmtId="49" fontId="15" fillId="0" borderId="17" xfId="0" applyNumberFormat="1" applyFont="1" applyBorder="1" applyAlignment="1">
      <alignment horizontal="center" vertical="center" textRotation="90" wrapText="1"/>
    </xf>
    <xf numFmtId="49" fontId="15" fillId="0" borderId="35" xfId="0" applyNumberFormat="1" applyFont="1" applyBorder="1" applyAlignment="1">
      <alignment horizontal="center" vertical="center" textRotation="90" wrapText="1"/>
    </xf>
    <xf numFmtId="49" fontId="15" fillId="0" borderId="5" xfId="0" applyNumberFormat="1" applyFont="1" applyBorder="1" applyAlignment="1">
      <alignment horizontal="center" vertical="center" textRotation="90" wrapText="1"/>
    </xf>
    <xf numFmtId="0" fontId="4" fillId="0" borderId="3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20" fontId="4" fillId="0" borderId="51" xfId="0" applyNumberFormat="1" applyFont="1" applyBorder="1" applyAlignment="1">
      <alignment horizontal="center" vertical="center" wrapText="1"/>
    </xf>
    <xf numFmtId="20" fontId="4" fillId="0" borderId="50" xfId="0" applyNumberFormat="1" applyFont="1" applyBorder="1" applyAlignment="1">
      <alignment horizontal="center" vertical="center" wrapText="1"/>
    </xf>
    <xf numFmtId="20" fontId="4" fillId="0" borderId="52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20" fontId="4" fillId="0" borderId="42" xfId="0" applyNumberFormat="1" applyFont="1" applyBorder="1" applyAlignment="1">
      <alignment horizontal="center" vertical="center" wrapText="1"/>
    </xf>
    <xf numFmtId="20" fontId="4" fillId="0" borderId="21" xfId="0" applyNumberFormat="1" applyFont="1" applyBorder="1" applyAlignment="1">
      <alignment horizontal="center" vertical="center" wrapText="1"/>
    </xf>
    <xf numFmtId="20" fontId="4" fillId="0" borderId="45" xfId="0" applyNumberFormat="1" applyFont="1" applyBorder="1" applyAlignment="1">
      <alignment horizontal="center" vertical="center" wrapText="1"/>
    </xf>
    <xf numFmtId="20" fontId="4" fillId="0" borderId="24" xfId="0" applyNumberFormat="1" applyFont="1" applyBorder="1" applyAlignment="1">
      <alignment horizontal="center" vertical="center" wrapText="1"/>
    </xf>
    <xf numFmtId="20" fontId="4" fillId="0" borderId="8" xfId="0" applyNumberFormat="1" applyFont="1" applyBorder="1" applyAlignment="1">
      <alignment horizontal="center" vertical="center" wrapText="1"/>
    </xf>
    <xf numFmtId="20" fontId="4" fillId="0" borderId="26" xfId="0" applyNumberFormat="1" applyFont="1" applyBorder="1" applyAlignment="1">
      <alignment horizontal="center" vertical="center" wrapText="1"/>
    </xf>
    <xf numFmtId="20" fontId="4" fillId="0" borderId="20" xfId="0" applyNumberFormat="1" applyFont="1" applyBorder="1" applyAlignment="1">
      <alignment horizontal="center" vertical="center" wrapText="1"/>
    </xf>
    <xf numFmtId="20" fontId="4" fillId="0" borderId="41" xfId="0" applyNumberFormat="1" applyFont="1" applyBorder="1" applyAlignment="1">
      <alignment horizontal="center" vertical="center" wrapText="1"/>
    </xf>
    <xf numFmtId="20" fontId="4" fillId="0" borderId="23" xfId="0" applyNumberFormat="1" applyFont="1" applyBorder="1" applyAlignment="1">
      <alignment horizontal="center" vertical="center" wrapText="1"/>
    </xf>
    <xf numFmtId="20" fontId="4" fillId="0" borderId="33" xfId="0" applyNumberFormat="1" applyFont="1" applyBorder="1" applyAlignment="1">
      <alignment horizontal="center" vertical="center" wrapText="1"/>
    </xf>
    <xf numFmtId="20" fontId="4" fillId="0" borderId="25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14" fillId="0" borderId="40" xfId="0" applyNumberFormat="1" applyFont="1" applyBorder="1" applyAlignment="1">
      <alignment horizontal="center" vertical="center" textRotation="90" wrapText="1"/>
    </xf>
    <xf numFmtId="165" fontId="14" fillId="0" borderId="30" xfId="0" applyNumberFormat="1" applyFont="1" applyBorder="1" applyAlignment="1">
      <alignment horizontal="center" vertical="center" textRotation="90" wrapText="1"/>
    </xf>
    <xf numFmtId="165" fontId="14" fillId="0" borderId="15" xfId="0" applyNumberFormat="1" applyFont="1" applyBorder="1" applyAlignment="1">
      <alignment horizontal="center" vertical="center" textRotation="90" wrapText="1"/>
    </xf>
    <xf numFmtId="49" fontId="4" fillId="0" borderId="3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55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textRotation="90" wrapText="1"/>
    </xf>
    <xf numFmtId="49" fontId="4" fillId="0" borderId="30" xfId="0" applyNumberFormat="1" applyFont="1" applyBorder="1" applyAlignment="1">
      <alignment horizontal="center" vertical="center" textRotation="90" wrapText="1"/>
    </xf>
    <xf numFmtId="49" fontId="4" fillId="0" borderId="15" xfId="0" applyNumberFormat="1" applyFont="1" applyBorder="1" applyAlignment="1">
      <alignment horizontal="center" vertical="center" textRotation="90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4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4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6" xfId="0" applyNumberFormat="1" applyFont="1" applyBorder="1" applyAlignment="1">
      <alignment horizontal="center" vertical="center" wrapTex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20" fontId="4" fillId="0" borderId="49" xfId="0" applyNumberFormat="1" applyFont="1" applyBorder="1" applyAlignment="1">
      <alignment horizontal="center" vertical="center" wrapText="1"/>
    </xf>
    <xf numFmtId="164" fontId="4" fillId="0" borderId="41" xfId="0" applyNumberFormat="1" applyFont="1" applyBorder="1" applyAlignment="1">
      <alignment horizontal="center" vertical="center" textRotation="90" wrapText="1"/>
    </xf>
    <xf numFmtId="164" fontId="4" fillId="0" borderId="33" xfId="0" applyNumberFormat="1" applyFont="1" applyBorder="1" applyAlignment="1">
      <alignment horizontal="center" vertical="center" textRotation="90" wrapText="1"/>
    </xf>
    <xf numFmtId="164" fontId="4" fillId="0" borderId="18" xfId="0" applyNumberFormat="1" applyFont="1" applyBorder="1" applyAlignment="1">
      <alignment horizontal="center" vertical="center" textRotation="90" wrapText="1"/>
    </xf>
    <xf numFmtId="164" fontId="4" fillId="0" borderId="34" xfId="0" applyNumberFormat="1" applyFont="1" applyBorder="1" applyAlignment="1">
      <alignment horizontal="center" vertical="center" textRotation="90" wrapText="1"/>
    </xf>
    <xf numFmtId="164" fontId="4" fillId="0" borderId="31" xfId="0" applyNumberFormat="1" applyFont="1" applyBorder="1" applyAlignment="1">
      <alignment horizontal="center" vertical="center" textRotation="90" wrapText="1"/>
    </xf>
    <xf numFmtId="164" fontId="4" fillId="0" borderId="16" xfId="0" applyNumberFormat="1" applyFont="1" applyBorder="1" applyAlignment="1">
      <alignment horizontal="center" vertical="center" textRotation="90" wrapText="1"/>
    </xf>
    <xf numFmtId="164" fontId="4" fillId="0" borderId="35" xfId="0" applyNumberFormat="1" applyFont="1" applyBorder="1" applyAlignment="1">
      <alignment horizontal="center" vertical="center" textRotation="90" wrapText="1"/>
    </xf>
    <xf numFmtId="164" fontId="4" fillId="0" borderId="32" xfId="0" applyNumberFormat="1" applyFont="1" applyBorder="1" applyAlignment="1">
      <alignment horizontal="center" vertical="center" textRotation="90" wrapText="1"/>
    </xf>
    <xf numFmtId="164" fontId="4" fillId="0" borderId="17" xfId="0" applyNumberFormat="1" applyFont="1" applyBorder="1" applyAlignment="1">
      <alignment horizontal="center" vertical="center" textRotation="90" wrapText="1"/>
    </xf>
    <xf numFmtId="0" fontId="4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20" fontId="4" fillId="0" borderId="44" xfId="0" applyNumberFormat="1" applyFont="1" applyBorder="1" applyAlignment="1">
      <alignment horizontal="center" vertical="center" wrapText="1"/>
    </xf>
    <xf numFmtId="20" fontId="4" fillId="0" borderId="28" xfId="0" applyNumberFormat="1" applyFont="1" applyBorder="1" applyAlignment="1">
      <alignment horizontal="center" vertical="center" wrapText="1"/>
    </xf>
    <xf numFmtId="20" fontId="4" fillId="0" borderId="19" xfId="0" applyNumberFormat="1" applyFont="1" applyBorder="1" applyAlignment="1">
      <alignment horizontal="center" vertical="center" wrapText="1"/>
    </xf>
    <xf numFmtId="20" fontId="4" fillId="0" borderId="18" xfId="0" applyNumberFormat="1" applyFont="1" applyBorder="1" applyAlignment="1">
      <alignment horizontal="center" vertical="center" wrapText="1"/>
    </xf>
    <xf numFmtId="20" fontId="4" fillId="0" borderId="37" xfId="0" applyNumberFormat="1" applyFont="1" applyBorder="1" applyAlignment="1">
      <alignment horizontal="center" vertical="center" wrapText="1"/>
    </xf>
    <xf numFmtId="20" fontId="4" fillId="0" borderId="29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textRotation="90" wrapText="1"/>
    </xf>
    <xf numFmtId="0" fontId="9" fillId="0" borderId="53" xfId="0" applyFont="1" applyBorder="1" applyAlignment="1">
      <alignment horizontal="center" vertical="center" textRotation="90" wrapText="1"/>
    </xf>
    <xf numFmtId="0" fontId="9" fillId="0" borderId="52" xfId="0" applyFont="1" applyBorder="1" applyAlignment="1">
      <alignment horizontal="center" vertical="center" textRotation="90" wrapText="1"/>
    </xf>
    <xf numFmtId="0" fontId="4" fillId="0" borderId="5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165" fontId="10" fillId="0" borderId="20" xfId="0" applyNumberFormat="1" applyFont="1" applyBorder="1" applyAlignment="1">
      <alignment horizontal="center" vertical="center" wrapText="1"/>
    </xf>
    <xf numFmtId="165" fontId="10" fillId="0" borderId="25" xfId="0" applyNumberFormat="1" applyFont="1" applyBorder="1" applyAlignment="1">
      <alignment horizontal="center" vertical="center" wrapText="1"/>
    </xf>
    <xf numFmtId="165" fontId="10" fillId="0" borderId="36" xfId="0" applyNumberFormat="1" applyFont="1" applyBorder="1" applyAlignment="1">
      <alignment horizontal="center" vertical="center" wrapText="1"/>
    </xf>
    <xf numFmtId="165" fontId="10" fillId="0" borderId="23" xfId="0" applyNumberFormat="1" applyFon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8" fillId="0" borderId="34" xfId="0" applyNumberFormat="1" applyFont="1" applyBorder="1" applyAlignment="1">
      <alignment horizontal="center" vertical="center" textRotation="90" wrapText="1"/>
    </xf>
    <xf numFmtId="0" fontId="8" fillId="0" borderId="31" xfId="0" applyNumberFormat="1" applyFont="1" applyBorder="1" applyAlignment="1">
      <alignment horizontal="center" vertical="center" textRotation="90" wrapText="1"/>
    </xf>
    <xf numFmtId="0" fontId="8" fillId="0" borderId="16" xfId="0" applyNumberFormat="1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horizontal="center" vertical="center" textRotation="90" wrapText="1"/>
    </xf>
    <xf numFmtId="0" fontId="2" fillId="0" borderId="0" xfId="0" applyFont="1" applyFill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22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0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39" xfId="0" applyFont="1" applyBorder="1" applyAlignment="1">
      <alignment horizontal="center" vertical="center" textRotation="90" wrapText="1"/>
    </xf>
    <xf numFmtId="0" fontId="9" fillId="0" borderId="35" xfId="0" applyFont="1" applyBorder="1" applyAlignment="1">
      <alignment horizontal="center" vertical="center" textRotation="90" wrapText="1"/>
    </xf>
    <xf numFmtId="0" fontId="9" fillId="0" borderId="32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4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8" fillId="0" borderId="41" xfId="0" applyNumberFormat="1" applyFont="1" applyBorder="1" applyAlignment="1">
      <alignment horizontal="center" vertical="center" textRotation="90" wrapText="1"/>
    </xf>
    <xf numFmtId="0" fontId="8" fillId="0" borderId="33" xfId="0" applyNumberFormat="1" applyFont="1" applyBorder="1" applyAlignment="1">
      <alignment horizontal="center" vertical="center" textRotation="90" wrapText="1"/>
    </xf>
    <xf numFmtId="0" fontId="8" fillId="0" borderId="18" xfId="0" applyNumberFormat="1" applyFont="1" applyBorder="1" applyAlignment="1">
      <alignment horizontal="center" vertical="center" textRotation="90" wrapText="1"/>
    </xf>
    <xf numFmtId="0" fontId="9" fillId="0" borderId="49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8" fillId="0" borderId="35" xfId="0" applyNumberFormat="1" applyFont="1" applyBorder="1" applyAlignment="1">
      <alignment horizontal="center" vertical="center" textRotation="90" wrapText="1"/>
    </xf>
    <xf numFmtId="0" fontId="8" fillId="0" borderId="32" xfId="0" applyNumberFormat="1" applyFont="1" applyBorder="1" applyAlignment="1">
      <alignment horizontal="center" vertical="center" textRotation="90" wrapText="1"/>
    </xf>
    <xf numFmtId="0" fontId="8" fillId="0" borderId="17" xfId="0" applyNumberFormat="1" applyFont="1" applyBorder="1" applyAlignment="1">
      <alignment horizontal="center" vertical="center" textRotation="90" wrapText="1"/>
    </xf>
    <xf numFmtId="0" fontId="8" fillId="0" borderId="40" xfId="0" applyFont="1" applyBorder="1" applyAlignment="1">
      <alignment horizontal="center" vertical="center" textRotation="90" wrapText="1"/>
    </xf>
    <xf numFmtId="0" fontId="8" fillId="0" borderId="30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0" borderId="34" xfId="0" applyFont="1" applyBorder="1" applyAlignment="1">
      <alignment horizontal="center" vertical="center" textRotation="90" wrapText="1"/>
    </xf>
    <xf numFmtId="0" fontId="8" fillId="0" borderId="31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textRotation="90" wrapText="1"/>
    </xf>
    <xf numFmtId="0" fontId="8" fillId="0" borderId="35" xfId="0" applyFont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center" vertical="center" textRotation="90" wrapText="1"/>
    </xf>
    <xf numFmtId="0" fontId="8" fillId="0" borderId="17" xfId="0" applyFont="1" applyBorder="1" applyAlignment="1">
      <alignment horizontal="center" vertical="center" textRotation="90" wrapText="1"/>
    </xf>
    <xf numFmtId="0" fontId="9" fillId="0" borderId="2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</cellXfs>
  <cellStyles count="5">
    <cellStyle name="Normalny" xfId="0" builtinId="0"/>
    <cellStyle name="Normalny 2 3" xfId="4" xr:uid="{00000000-0005-0000-0000-000001000000}"/>
    <cellStyle name="Normalny 3" xfId="1" xr:uid="{00000000-0005-0000-0000-000002000000}"/>
    <cellStyle name="Normalny 4" xfId="3" xr:uid="{00000000-0005-0000-0000-000003000000}"/>
    <cellStyle name="Normalny 4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79"/>
  <sheetViews>
    <sheetView tabSelected="1" view="pageLayout" zoomScale="85" zoomScaleNormal="100" zoomScalePageLayoutView="85" workbookViewId="0">
      <selection activeCell="AK12" sqref="AK12"/>
    </sheetView>
  </sheetViews>
  <sheetFormatPr defaultColWidth="4.5703125" defaultRowHeight="17.100000000000001" customHeight="1" x14ac:dyDescent="0.25"/>
  <cols>
    <col min="1" max="1" width="4" style="1" customWidth="1"/>
    <col min="2" max="2" width="6" style="1" customWidth="1"/>
    <col min="3" max="7" width="4.85546875" style="1" customWidth="1"/>
    <col min="8" max="8" width="4" style="1" customWidth="1"/>
    <col min="9" max="9" width="6" style="1" customWidth="1"/>
    <col min="10" max="10" width="4" style="1" customWidth="1"/>
    <col min="11" max="13" width="4.85546875" style="1" customWidth="1"/>
    <col min="14" max="19" width="4" style="1" customWidth="1"/>
    <col min="20" max="20" width="4.85546875" style="1" customWidth="1"/>
    <col min="21" max="29" width="4" style="1" customWidth="1"/>
    <col min="30" max="31" width="7.42578125" style="1" customWidth="1"/>
    <col min="32" max="33" width="4.85546875" style="1" customWidth="1"/>
    <col min="34" max="34" width="3.5703125" style="1" customWidth="1"/>
    <col min="35" max="35" width="4.140625" style="1" customWidth="1"/>
    <col min="36" max="16384" width="4.5703125" style="1"/>
  </cols>
  <sheetData>
    <row r="1" spans="1:31" ht="17.100000000000001" customHeight="1" thickBot="1" x14ac:dyDescent="0.3">
      <c r="A1" s="138" t="s">
        <v>53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</row>
    <row r="2" spans="1:31" ht="17.100000000000001" customHeight="1" thickBot="1" x14ac:dyDescent="0.3">
      <c r="A2" s="6" t="s">
        <v>0</v>
      </c>
      <c r="B2" s="8" t="s">
        <v>21</v>
      </c>
      <c r="C2" s="116" t="s">
        <v>22</v>
      </c>
      <c r="D2" s="117"/>
      <c r="E2" s="117"/>
      <c r="F2" s="116" t="s">
        <v>46</v>
      </c>
      <c r="G2" s="117"/>
      <c r="H2" s="15" t="s">
        <v>48</v>
      </c>
      <c r="I2" s="13" t="s">
        <v>1</v>
      </c>
      <c r="J2" s="116" t="s">
        <v>2</v>
      </c>
      <c r="K2" s="117"/>
      <c r="L2" s="117"/>
      <c r="M2" s="118"/>
      <c r="N2" s="116" t="s">
        <v>3</v>
      </c>
      <c r="O2" s="117"/>
      <c r="P2" s="117"/>
      <c r="Q2" s="117"/>
      <c r="R2" s="117"/>
      <c r="S2" s="118"/>
      <c r="T2" s="116" t="s">
        <v>4</v>
      </c>
      <c r="U2" s="117"/>
      <c r="V2" s="117"/>
      <c r="W2" s="117"/>
      <c r="X2" s="117"/>
      <c r="Y2" s="118"/>
      <c r="Z2" s="116" t="s">
        <v>5</v>
      </c>
      <c r="AA2" s="117"/>
      <c r="AB2" s="117"/>
      <c r="AC2" s="118"/>
      <c r="AD2" s="7" t="s">
        <v>12</v>
      </c>
      <c r="AE2" s="12" t="s">
        <v>6</v>
      </c>
    </row>
    <row r="3" spans="1:31" ht="17.100000000000001" customHeight="1" x14ac:dyDescent="0.25">
      <c r="A3" s="107" t="s">
        <v>7</v>
      </c>
      <c r="B3" s="114" t="s">
        <v>8</v>
      </c>
      <c r="C3" s="133" t="s">
        <v>35</v>
      </c>
      <c r="D3" s="134"/>
      <c r="E3" s="134"/>
      <c r="F3" s="146" t="s">
        <v>37</v>
      </c>
      <c r="G3" s="147"/>
      <c r="H3" s="135" t="s">
        <v>47</v>
      </c>
      <c r="I3" s="152" t="s">
        <v>49</v>
      </c>
      <c r="J3" s="155" t="s">
        <v>38</v>
      </c>
      <c r="K3" s="158" t="s">
        <v>23</v>
      </c>
      <c r="L3" s="159"/>
      <c r="M3" s="160"/>
      <c r="N3" s="161" t="s">
        <v>40</v>
      </c>
      <c r="O3" s="162"/>
      <c r="P3" s="158" t="s">
        <v>41</v>
      </c>
      <c r="Q3" s="162"/>
      <c r="R3" s="158" t="s">
        <v>9</v>
      </c>
      <c r="S3" s="160"/>
      <c r="T3" s="119" t="s">
        <v>42</v>
      </c>
      <c r="U3" s="169" t="s">
        <v>34</v>
      </c>
      <c r="V3" s="122" t="s">
        <v>44</v>
      </c>
      <c r="W3" s="122" t="s">
        <v>43</v>
      </c>
      <c r="X3" s="122" t="s">
        <v>45</v>
      </c>
      <c r="Y3" s="175" t="s">
        <v>24</v>
      </c>
      <c r="Z3" s="178" t="s">
        <v>25</v>
      </c>
      <c r="AA3" s="181" t="s">
        <v>10</v>
      </c>
      <c r="AB3" s="181" t="s">
        <v>26</v>
      </c>
      <c r="AC3" s="187" t="s">
        <v>11</v>
      </c>
      <c r="AD3" s="159" t="s">
        <v>23</v>
      </c>
      <c r="AE3" s="172" t="s">
        <v>27</v>
      </c>
    </row>
    <row r="4" spans="1:31" ht="17.100000000000001" customHeight="1" x14ac:dyDescent="0.25">
      <c r="A4" s="108"/>
      <c r="B4" s="115"/>
      <c r="C4" s="125" t="s">
        <v>36</v>
      </c>
      <c r="D4" s="126"/>
      <c r="E4" s="126"/>
      <c r="F4" s="148"/>
      <c r="G4" s="149"/>
      <c r="H4" s="136"/>
      <c r="I4" s="153"/>
      <c r="J4" s="156"/>
      <c r="K4" s="130"/>
      <c r="L4" s="131"/>
      <c r="M4" s="132"/>
      <c r="N4" s="163"/>
      <c r="O4" s="164"/>
      <c r="P4" s="167"/>
      <c r="Q4" s="164"/>
      <c r="R4" s="167"/>
      <c r="S4" s="168"/>
      <c r="T4" s="120"/>
      <c r="U4" s="170"/>
      <c r="V4" s="123"/>
      <c r="W4" s="123"/>
      <c r="X4" s="123"/>
      <c r="Y4" s="176"/>
      <c r="Z4" s="179"/>
      <c r="AA4" s="182"/>
      <c r="AB4" s="182"/>
      <c r="AC4" s="188"/>
      <c r="AD4" s="131"/>
      <c r="AE4" s="173"/>
    </row>
    <row r="5" spans="1:31" ht="17.100000000000001" customHeight="1" x14ac:dyDescent="0.25">
      <c r="A5" s="109" t="s">
        <v>14</v>
      </c>
      <c r="B5" s="112" t="s">
        <v>28</v>
      </c>
      <c r="C5" s="125" t="s">
        <v>29</v>
      </c>
      <c r="D5" s="126"/>
      <c r="E5" s="126"/>
      <c r="F5" s="148"/>
      <c r="G5" s="149"/>
      <c r="H5" s="136"/>
      <c r="I5" s="154"/>
      <c r="J5" s="157"/>
      <c r="K5" s="127" t="s">
        <v>16</v>
      </c>
      <c r="L5" s="128"/>
      <c r="M5" s="129"/>
      <c r="N5" s="165"/>
      <c r="O5" s="166"/>
      <c r="P5" s="130"/>
      <c r="Q5" s="166"/>
      <c r="R5" s="130"/>
      <c r="S5" s="132"/>
      <c r="T5" s="121" t="s">
        <v>15</v>
      </c>
      <c r="U5" s="170"/>
      <c r="V5" s="123"/>
      <c r="W5" s="123"/>
      <c r="X5" s="123"/>
      <c r="Y5" s="176"/>
      <c r="Z5" s="179"/>
      <c r="AA5" s="182"/>
      <c r="AB5" s="182"/>
      <c r="AC5" s="188"/>
      <c r="AD5" s="128" t="s">
        <v>16</v>
      </c>
      <c r="AE5" s="173"/>
    </row>
    <row r="6" spans="1:31" ht="17.100000000000001" customHeight="1" x14ac:dyDescent="0.25">
      <c r="A6" s="110"/>
      <c r="B6" s="113"/>
      <c r="C6" s="125" t="s">
        <v>30</v>
      </c>
      <c r="D6" s="126"/>
      <c r="E6" s="126"/>
      <c r="F6" s="148"/>
      <c r="G6" s="149"/>
      <c r="H6" s="136"/>
      <c r="I6" s="185" t="s">
        <v>50</v>
      </c>
      <c r="J6" s="190" t="s">
        <v>39</v>
      </c>
      <c r="K6" s="130"/>
      <c r="L6" s="131"/>
      <c r="M6" s="132"/>
      <c r="N6" s="192" t="s">
        <v>31</v>
      </c>
      <c r="O6" s="193"/>
      <c r="P6" s="127" t="s">
        <v>13</v>
      </c>
      <c r="Q6" s="193"/>
      <c r="R6" s="127" t="s">
        <v>17</v>
      </c>
      <c r="S6" s="129"/>
      <c r="T6" s="120"/>
      <c r="U6" s="170"/>
      <c r="V6" s="123"/>
      <c r="W6" s="123"/>
      <c r="X6" s="123"/>
      <c r="Y6" s="176"/>
      <c r="Z6" s="179"/>
      <c r="AA6" s="182"/>
      <c r="AB6" s="182"/>
      <c r="AC6" s="188"/>
      <c r="AD6" s="131"/>
      <c r="AE6" s="173"/>
    </row>
    <row r="7" spans="1:31" ht="17.100000000000001" customHeight="1" x14ac:dyDescent="0.25">
      <c r="A7" s="109" t="s">
        <v>18</v>
      </c>
      <c r="B7" s="139" t="s">
        <v>19</v>
      </c>
      <c r="C7" s="125" t="s">
        <v>32</v>
      </c>
      <c r="D7" s="126"/>
      <c r="E7" s="126"/>
      <c r="F7" s="148"/>
      <c r="G7" s="149"/>
      <c r="H7" s="136"/>
      <c r="I7" s="153"/>
      <c r="J7" s="156"/>
      <c r="K7" s="127" t="s">
        <v>33</v>
      </c>
      <c r="L7" s="128"/>
      <c r="M7" s="129"/>
      <c r="N7" s="163"/>
      <c r="O7" s="164"/>
      <c r="P7" s="167"/>
      <c r="Q7" s="164"/>
      <c r="R7" s="167"/>
      <c r="S7" s="168"/>
      <c r="T7" s="121" t="s">
        <v>20</v>
      </c>
      <c r="U7" s="170"/>
      <c r="V7" s="123"/>
      <c r="W7" s="123"/>
      <c r="X7" s="123"/>
      <c r="Y7" s="176"/>
      <c r="Z7" s="179"/>
      <c r="AA7" s="182"/>
      <c r="AB7" s="182"/>
      <c r="AC7" s="188"/>
      <c r="AD7" s="128" t="s">
        <v>33</v>
      </c>
      <c r="AE7" s="173"/>
    </row>
    <row r="8" spans="1:31" ht="17.100000000000001" customHeight="1" thickBot="1" x14ac:dyDescent="0.3">
      <c r="A8" s="111"/>
      <c r="B8" s="140"/>
      <c r="C8" s="144" t="s">
        <v>32</v>
      </c>
      <c r="D8" s="145"/>
      <c r="E8" s="145"/>
      <c r="F8" s="150"/>
      <c r="G8" s="151"/>
      <c r="H8" s="137"/>
      <c r="I8" s="186"/>
      <c r="J8" s="191"/>
      <c r="K8" s="141"/>
      <c r="L8" s="142"/>
      <c r="M8" s="143"/>
      <c r="N8" s="194"/>
      <c r="O8" s="195"/>
      <c r="P8" s="141"/>
      <c r="Q8" s="195"/>
      <c r="R8" s="141"/>
      <c r="S8" s="143"/>
      <c r="T8" s="184"/>
      <c r="U8" s="171"/>
      <c r="V8" s="124"/>
      <c r="W8" s="124"/>
      <c r="X8" s="124"/>
      <c r="Y8" s="177"/>
      <c r="Z8" s="180"/>
      <c r="AA8" s="183"/>
      <c r="AB8" s="183"/>
      <c r="AC8" s="189"/>
      <c r="AD8" s="142"/>
      <c r="AE8" s="174"/>
    </row>
    <row r="9" spans="1:31" ht="17.100000000000001" customHeight="1" x14ac:dyDescent="0.25">
      <c r="A9" s="50">
        <v>46023</v>
      </c>
      <c r="B9" s="53"/>
      <c r="C9" s="55"/>
      <c r="D9" s="56"/>
      <c r="E9" s="57"/>
      <c r="F9" s="55"/>
      <c r="G9" s="57"/>
      <c r="H9" s="58"/>
      <c r="I9" s="26"/>
      <c r="J9" s="61"/>
      <c r="K9" s="64"/>
      <c r="L9" s="11"/>
      <c r="M9" s="53"/>
      <c r="N9" s="42"/>
      <c r="O9" s="43"/>
      <c r="P9" s="36"/>
      <c r="Q9" s="43"/>
      <c r="R9" s="36"/>
      <c r="S9" s="37"/>
      <c r="T9" s="76">
        <f t="shared" ref="T9" si="0">R9-P9</f>
        <v>0</v>
      </c>
      <c r="U9" s="77"/>
      <c r="V9" s="80"/>
      <c r="W9" s="80"/>
      <c r="X9" s="80"/>
      <c r="Y9" s="83"/>
      <c r="Z9" s="86"/>
      <c r="AA9" s="48"/>
      <c r="AB9" s="48"/>
      <c r="AC9" s="96"/>
      <c r="AD9" s="99"/>
      <c r="AE9" s="101"/>
    </row>
    <row r="10" spans="1:31" ht="17.100000000000001" customHeight="1" x14ac:dyDescent="0.25">
      <c r="A10" s="51"/>
      <c r="B10" s="54"/>
      <c r="C10" s="68"/>
      <c r="D10" s="69"/>
      <c r="E10" s="70"/>
      <c r="F10" s="68"/>
      <c r="G10" s="70"/>
      <c r="H10" s="59"/>
      <c r="I10" s="24"/>
      <c r="J10" s="62"/>
      <c r="K10" s="65"/>
      <c r="L10" s="21"/>
      <c r="M10" s="54"/>
      <c r="N10" s="44"/>
      <c r="O10" s="45"/>
      <c r="P10" s="38"/>
      <c r="Q10" s="45"/>
      <c r="R10" s="38"/>
      <c r="S10" s="39"/>
      <c r="T10" s="32"/>
      <c r="U10" s="78"/>
      <c r="V10" s="81"/>
      <c r="W10" s="81"/>
      <c r="X10" s="81"/>
      <c r="Y10" s="84"/>
      <c r="Z10" s="34"/>
      <c r="AA10" s="29"/>
      <c r="AB10" s="29"/>
      <c r="AC10" s="97"/>
      <c r="AD10" s="100"/>
      <c r="AE10" s="102"/>
    </row>
    <row r="11" spans="1:31" ht="17.100000000000001" customHeight="1" x14ac:dyDescent="0.25">
      <c r="A11" s="51"/>
      <c r="B11" s="66"/>
      <c r="C11" s="68"/>
      <c r="D11" s="69"/>
      <c r="E11" s="70"/>
      <c r="F11" s="68"/>
      <c r="G11" s="70"/>
      <c r="H11" s="59"/>
      <c r="I11" s="27"/>
      <c r="J11" s="63"/>
      <c r="K11" s="71"/>
      <c r="L11" s="18"/>
      <c r="M11" s="66"/>
      <c r="N11" s="46"/>
      <c r="O11" s="47"/>
      <c r="P11" s="40"/>
      <c r="Q11" s="47"/>
      <c r="R11" s="40"/>
      <c r="S11" s="41"/>
      <c r="T11" s="31">
        <f>(P12-P9)+(R9-R12)</f>
        <v>0</v>
      </c>
      <c r="U11" s="78"/>
      <c r="V11" s="81"/>
      <c r="W11" s="81"/>
      <c r="X11" s="81"/>
      <c r="Y11" s="84"/>
      <c r="Z11" s="87"/>
      <c r="AA11" s="49"/>
      <c r="AB11" s="49"/>
      <c r="AC11" s="98"/>
      <c r="AD11" s="104"/>
      <c r="AE11" s="102"/>
    </row>
    <row r="12" spans="1:31" ht="17.100000000000001" customHeight="1" x14ac:dyDescent="0.25">
      <c r="A12" s="51"/>
      <c r="B12" s="54"/>
      <c r="C12" s="68"/>
      <c r="D12" s="69"/>
      <c r="E12" s="70"/>
      <c r="F12" s="68"/>
      <c r="G12" s="70"/>
      <c r="H12" s="59"/>
      <c r="I12" s="23"/>
      <c r="J12" s="88"/>
      <c r="K12" s="65"/>
      <c r="L12" s="18"/>
      <c r="M12" s="54"/>
      <c r="N12" s="90">
        <f>(P9-N9)+(P12-P9)+(R9-R12)</f>
        <v>0</v>
      </c>
      <c r="O12" s="91"/>
      <c r="P12" s="90"/>
      <c r="Q12" s="91"/>
      <c r="R12" s="90"/>
      <c r="S12" s="94"/>
      <c r="T12" s="32"/>
      <c r="U12" s="78"/>
      <c r="V12" s="81"/>
      <c r="W12" s="81"/>
      <c r="X12" s="81"/>
      <c r="Y12" s="84"/>
      <c r="Z12" s="34"/>
      <c r="AA12" s="28"/>
      <c r="AB12" s="28"/>
      <c r="AC12" s="97"/>
      <c r="AD12" s="100"/>
      <c r="AE12" s="102"/>
    </row>
    <row r="13" spans="1:31" ht="17.100000000000001" customHeight="1" x14ac:dyDescent="0.25">
      <c r="A13" s="51"/>
      <c r="B13" s="66"/>
      <c r="C13" s="68"/>
      <c r="D13" s="69"/>
      <c r="E13" s="70"/>
      <c r="F13" s="68"/>
      <c r="G13" s="70"/>
      <c r="H13" s="59"/>
      <c r="I13" s="24"/>
      <c r="J13" s="62"/>
      <c r="K13" s="71" t="s">
        <v>51</v>
      </c>
      <c r="L13" s="20" t="s">
        <v>51</v>
      </c>
      <c r="M13" s="66" t="s">
        <v>51</v>
      </c>
      <c r="N13" s="38"/>
      <c r="O13" s="45"/>
      <c r="P13" s="38"/>
      <c r="Q13" s="45"/>
      <c r="R13" s="38"/>
      <c r="S13" s="39"/>
      <c r="T13" s="31">
        <f t="shared" ref="T13" si="1">R12-P12</f>
        <v>0</v>
      </c>
      <c r="U13" s="78"/>
      <c r="V13" s="81"/>
      <c r="W13" s="81"/>
      <c r="X13" s="81"/>
      <c r="Y13" s="84"/>
      <c r="Z13" s="34"/>
      <c r="AA13" s="29"/>
      <c r="AB13" s="29"/>
      <c r="AC13" s="97"/>
      <c r="AD13" s="104"/>
      <c r="AE13" s="102"/>
    </row>
    <row r="14" spans="1:31" ht="17.100000000000001" customHeight="1" thickBot="1" x14ac:dyDescent="0.3">
      <c r="A14" s="52"/>
      <c r="B14" s="67"/>
      <c r="C14" s="73"/>
      <c r="D14" s="74"/>
      <c r="E14" s="75"/>
      <c r="F14" s="73"/>
      <c r="G14" s="75"/>
      <c r="H14" s="60"/>
      <c r="I14" s="25"/>
      <c r="J14" s="89"/>
      <c r="K14" s="72"/>
      <c r="L14" s="19" t="s">
        <v>52</v>
      </c>
      <c r="M14" s="67"/>
      <c r="N14" s="92"/>
      <c r="O14" s="93"/>
      <c r="P14" s="92"/>
      <c r="Q14" s="93"/>
      <c r="R14" s="92"/>
      <c r="S14" s="95"/>
      <c r="T14" s="33"/>
      <c r="U14" s="79"/>
      <c r="V14" s="82"/>
      <c r="W14" s="82"/>
      <c r="X14" s="82"/>
      <c r="Y14" s="85"/>
      <c r="Z14" s="35"/>
      <c r="AA14" s="30"/>
      <c r="AB14" s="30"/>
      <c r="AC14" s="105"/>
      <c r="AD14" s="106"/>
      <c r="AE14" s="103"/>
    </row>
    <row r="15" spans="1:31" ht="17.100000000000001" customHeight="1" x14ac:dyDescent="0.25">
      <c r="A15" s="50">
        <v>46023</v>
      </c>
      <c r="B15" s="53"/>
      <c r="C15" s="55"/>
      <c r="D15" s="56"/>
      <c r="E15" s="57"/>
      <c r="F15" s="55"/>
      <c r="G15" s="57"/>
      <c r="H15" s="58"/>
      <c r="I15" s="26"/>
      <c r="J15" s="61"/>
      <c r="K15" s="64"/>
      <c r="L15" s="11"/>
      <c r="M15" s="53"/>
      <c r="N15" s="42"/>
      <c r="O15" s="43"/>
      <c r="P15" s="36"/>
      <c r="Q15" s="43"/>
      <c r="R15" s="36"/>
      <c r="S15" s="37"/>
      <c r="T15" s="76">
        <f t="shared" ref="T15" si="2">R15-P15</f>
        <v>0</v>
      </c>
      <c r="U15" s="77"/>
      <c r="V15" s="80"/>
      <c r="W15" s="80"/>
      <c r="X15" s="80"/>
      <c r="Y15" s="83"/>
      <c r="Z15" s="86"/>
      <c r="AA15" s="48"/>
      <c r="AB15" s="48"/>
      <c r="AC15" s="96"/>
      <c r="AD15" s="99"/>
      <c r="AE15" s="101"/>
    </row>
    <row r="16" spans="1:31" ht="17.100000000000001" customHeight="1" x14ac:dyDescent="0.25">
      <c r="A16" s="51"/>
      <c r="B16" s="54"/>
      <c r="C16" s="68"/>
      <c r="D16" s="69"/>
      <c r="E16" s="70"/>
      <c r="F16" s="68"/>
      <c r="G16" s="70"/>
      <c r="H16" s="59"/>
      <c r="I16" s="24"/>
      <c r="J16" s="62"/>
      <c r="K16" s="65"/>
      <c r="L16" s="21"/>
      <c r="M16" s="54"/>
      <c r="N16" s="44"/>
      <c r="O16" s="45"/>
      <c r="P16" s="38"/>
      <c r="Q16" s="45"/>
      <c r="R16" s="38"/>
      <c r="S16" s="39"/>
      <c r="T16" s="32"/>
      <c r="U16" s="78"/>
      <c r="V16" s="81"/>
      <c r="W16" s="81"/>
      <c r="X16" s="81"/>
      <c r="Y16" s="84"/>
      <c r="Z16" s="34"/>
      <c r="AA16" s="29"/>
      <c r="AB16" s="29"/>
      <c r="AC16" s="97"/>
      <c r="AD16" s="100"/>
      <c r="AE16" s="102"/>
    </row>
    <row r="17" spans="1:31" ht="17.100000000000001" customHeight="1" x14ac:dyDescent="0.25">
      <c r="A17" s="51"/>
      <c r="B17" s="66"/>
      <c r="C17" s="68"/>
      <c r="D17" s="69"/>
      <c r="E17" s="70"/>
      <c r="F17" s="68"/>
      <c r="G17" s="70"/>
      <c r="H17" s="59"/>
      <c r="I17" s="27"/>
      <c r="J17" s="63"/>
      <c r="K17" s="71"/>
      <c r="L17" s="18"/>
      <c r="M17" s="66"/>
      <c r="N17" s="46"/>
      <c r="O17" s="47"/>
      <c r="P17" s="40"/>
      <c r="Q17" s="47"/>
      <c r="R17" s="40"/>
      <c r="S17" s="41"/>
      <c r="T17" s="31">
        <f>(P18-P15)+(R15-R18)</f>
        <v>0</v>
      </c>
      <c r="U17" s="78"/>
      <c r="V17" s="81"/>
      <c r="W17" s="81"/>
      <c r="X17" s="81"/>
      <c r="Y17" s="84"/>
      <c r="Z17" s="87"/>
      <c r="AA17" s="49"/>
      <c r="AB17" s="49"/>
      <c r="AC17" s="98"/>
      <c r="AD17" s="104"/>
      <c r="AE17" s="102"/>
    </row>
    <row r="18" spans="1:31" ht="17.100000000000001" customHeight="1" x14ac:dyDescent="0.25">
      <c r="A18" s="51"/>
      <c r="B18" s="54"/>
      <c r="C18" s="68"/>
      <c r="D18" s="69"/>
      <c r="E18" s="70"/>
      <c r="F18" s="68"/>
      <c r="G18" s="70"/>
      <c r="H18" s="59"/>
      <c r="I18" s="23"/>
      <c r="J18" s="88"/>
      <c r="K18" s="65"/>
      <c r="L18" s="18"/>
      <c r="M18" s="54"/>
      <c r="N18" s="90">
        <f>(P15-N15)+(P18-P15)+(R15-R18)</f>
        <v>0</v>
      </c>
      <c r="O18" s="91"/>
      <c r="P18" s="90"/>
      <c r="Q18" s="91"/>
      <c r="R18" s="90"/>
      <c r="S18" s="94"/>
      <c r="T18" s="32"/>
      <c r="U18" s="78"/>
      <c r="V18" s="81"/>
      <c r="W18" s="81"/>
      <c r="X18" s="81"/>
      <c r="Y18" s="84"/>
      <c r="Z18" s="34"/>
      <c r="AA18" s="28"/>
      <c r="AB18" s="28"/>
      <c r="AC18" s="97"/>
      <c r="AD18" s="100"/>
      <c r="AE18" s="102"/>
    </row>
    <row r="19" spans="1:31" ht="17.100000000000001" customHeight="1" x14ac:dyDescent="0.25">
      <c r="A19" s="51"/>
      <c r="B19" s="66"/>
      <c r="C19" s="68"/>
      <c r="D19" s="69"/>
      <c r="E19" s="70"/>
      <c r="F19" s="68"/>
      <c r="G19" s="70"/>
      <c r="H19" s="59"/>
      <c r="I19" s="24"/>
      <c r="J19" s="62"/>
      <c r="K19" s="71" t="s">
        <v>51</v>
      </c>
      <c r="L19" s="20" t="s">
        <v>51</v>
      </c>
      <c r="M19" s="66" t="s">
        <v>51</v>
      </c>
      <c r="N19" s="38"/>
      <c r="O19" s="45"/>
      <c r="P19" s="38"/>
      <c r="Q19" s="45"/>
      <c r="R19" s="38"/>
      <c r="S19" s="39"/>
      <c r="T19" s="31">
        <f t="shared" ref="T19" si="3">R18-P18</f>
        <v>0</v>
      </c>
      <c r="U19" s="78"/>
      <c r="V19" s="81"/>
      <c r="W19" s="81"/>
      <c r="X19" s="81"/>
      <c r="Y19" s="84"/>
      <c r="Z19" s="34"/>
      <c r="AA19" s="29"/>
      <c r="AB19" s="29"/>
      <c r="AC19" s="97"/>
      <c r="AD19" s="104"/>
      <c r="AE19" s="102"/>
    </row>
    <row r="20" spans="1:31" ht="17.100000000000001" customHeight="1" thickBot="1" x14ac:dyDescent="0.3">
      <c r="A20" s="52"/>
      <c r="B20" s="67"/>
      <c r="C20" s="73"/>
      <c r="D20" s="74"/>
      <c r="E20" s="75"/>
      <c r="F20" s="73"/>
      <c r="G20" s="75"/>
      <c r="H20" s="60"/>
      <c r="I20" s="25"/>
      <c r="J20" s="89"/>
      <c r="K20" s="72"/>
      <c r="L20" s="19" t="s">
        <v>52</v>
      </c>
      <c r="M20" s="67"/>
      <c r="N20" s="92"/>
      <c r="O20" s="93"/>
      <c r="P20" s="92"/>
      <c r="Q20" s="93"/>
      <c r="R20" s="92"/>
      <c r="S20" s="95"/>
      <c r="T20" s="33"/>
      <c r="U20" s="79"/>
      <c r="V20" s="82"/>
      <c r="W20" s="82"/>
      <c r="X20" s="82"/>
      <c r="Y20" s="85"/>
      <c r="Z20" s="35"/>
      <c r="AA20" s="30"/>
      <c r="AB20" s="30"/>
      <c r="AC20" s="105"/>
      <c r="AD20" s="106"/>
      <c r="AE20" s="103"/>
    </row>
    <row r="21" spans="1:31" ht="17.100000000000001" customHeight="1" x14ac:dyDescent="0.25">
      <c r="A21" s="50">
        <v>46023</v>
      </c>
      <c r="B21" s="53"/>
      <c r="C21" s="55"/>
      <c r="D21" s="56"/>
      <c r="E21" s="57"/>
      <c r="F21" s="55"/>
      <c r="G21" s="57"/>
      <c r="H21" s="58"/>
      <c r="I21" s="26"/>
      <c r="J21" s="61"/>
      <c r="K21" s="64"/>
      <c r="L21" s="11"/>
      <c r="M21" s="53"/>
      <c r="N21" s="42"/>
      <c r="O21" s="43"/>
      <c r="P21" s="36"/>
      <c r="Q21" s="43"/>
      <c r="R21" s="36"/>
      <c r="S21" s="37"/>
      <c r="T21" s="76">
        <f t="shared" ref="T21" si="4">R21-P21</f>
        <v>0</v>
      </c>
      <c r="U21" s="77"/>
      <c r="V21" s="80"/>
      <c r="W21" s="80"/>
      <c r="X21" s="80"/>
      <c r="Y21" s="83"/>
      <c r="Z21" s="86"/>
      <c r="AA21" s="48"/>
      <c r="AB21" s="48"/>
      <c r="AC21" s="96"/>
      <c r="AD21" s="99"/>
      <c r="AE21" s="101"/>
    </row>
    <row r="22" spans="1:31" ht="17.100000000000001" customHeight="1" x14ac:dyDescent="0.25">
      <c r="A22" s="51"/>
      <c r="B22" s="54"/>
      <c r="C22" s="68"/>
      <c r="D22" s="69"/>
      <c r="E22" s="70"/>
      <c r="F22" s="68"/>
      <c r="G22" s="70"/>
      <c r="H22" s="59"/>
      <c r="I22" s="24"/>
      <c r="J22" s="62"/>
      <c r="K22" s="65"/>
      <c r="L22" s="21"/>
      <c r="M22" s="54"/>
      <c r="N22" s="44"/>
      <c r="O22" s="45"/>
      <c r="P22" s="38"/>
      <c r="Q22" s="45"/>
      <c r="R22" s="38"/>
      <c r="S22" s="39"/>
      <c r="T22" s="32"/>
      <c r="U22" s="78"/>
      <c r="V22" s="81"/>
      <c r="W22" s="81"/>
      <c r="X22" s="81"/>
      <c r="Y22" s="84"/>
      <c r="Z22" s="34"/>
      <c r="AA22" s="29"/>
      <c r="AB22" s="29"/>
      <c r="AC22" s="97"/>
      <c r="AD22" s="100"/>
      <c r="AE22" s="102"/>
    </row>
    <row r="23" spans="1:31" ht="17.100000000000001" customHeight="1" x14ac:dyDescent="0.25">
      <c r="A23" s="51"/>
      <c r="B23" s="66"/>
      <c r="C23" s="68"/>
      <c r="D23" s="69"/>
      <c r="E23" s="70"/>
      <c r="F23" s="68"/>
      <c r="G23" s="70"/>
      <c r="H23" s="59"/>
      <c r="I23" s="27"/>
      <c r="J23" s="63"/>
      <c r="K23" s="71"/>
      <c r="L23" s="18"/>
      <c r="M23" s="66"/>
      <c r="N23" s="46"/>
      <c r="O23" s="47"/>
      <c r="P23" s="40"/>
      <c r="Q23" s="47"/>
      <c r="R23" s="40"/>
      <c r="S23" s="41"/>
      <c r="T23" s="31">
        <f>(P24-P21)+(R21-R24)</f>
        <v>0</v>
      </c>
      <c r="U23" s="78"/>
      <c r="V23" s="81"/>
      <c r="W23" s="81"/>
      <c r="X23" s="81"/>
      <c r="Y23" s="84"/>
      <c r="Z23" s="87"/>
      <c r="AA23" s="49"/>
      <c r="AB23" s="49"/>
      <c r="AC23" s="98"/>
      <c r="AD23" s="104"/>
      <c r="AE23" s="102"/>
    </row>
    <row r="24" spans="1:31" ht="17.100000000000001" customHeight="1" x14ac:dyDescent="0.25">
      <c r="A24" s="51"/>
      <c r="B24" s="54"/>
      <c r="C24" s="68"/>
      <c r="D24" s="69"/>
      <c r="E24" s="70"/>
      <c r="F24" s="68"/>
      <c r="G24" s="70"/>
      <c r="H24" s="59"/>
      <c r="I24" s="23"/>
      <c r="J24" s="88"/>
      <c r="K24" s="65"/>
      <c r="L24" s="18"/>
      <c r="M24" s="54"/>
      <c r="N24" s="90">
        <f>(P21-N21)+(P24-P21)+(R21-R24)</f>
        <v>0</v>
      </c>
      <c r="O24" s="91"/>
      <c r="P24" s="90"/>
      <c r="Q24" s="91"/>
      <c r="R24" s="90"/>
      <c r="S24" s="94"/>
      <c r="T24" s="32"/>
      <c r="U24" s="78"/>
      <c r="V24" s="81"/>
      <c r="W24" s="81"/>
      <c r="X24" s="81"/>
      <c r="Y24" s="84"/>
      <c r="Z24" s="34"/>
      <c r="AA24" s="28"/>
      <c r="AB24" s="28"/>
      <c r="AC24" s="97"/>
      <c r="AD24" s="100"/>
      <c r="AE24" s="102"/>
    </row>
    <row r="25" spans="1:31" ht="17.100000000000001" customHeight="1" x14ac:dyDescent="0.25">
      <c r="A25" s="51"/>
      <c r="B25" s="66"/>
      <c r="C25" s="68"/>
      <c r="D25" s="69"/>
      <c r="E25" s="70"/>
      <c r="F25" s="68"/>
      <c r="G25" s="70"/>
      <c r="H25" s="59"/>
      <c r="I25" s="24"/>
      <c r="J25" s="62"/>
      <c r="K25" s="71" t="s">
        <v>51</v>
      </c>
      <c r="L25" s="20" t="s">
        <v>51</v>
      </c>
      <c r="M25" s="66" t="s">
        <v>51</v>
      </c>
      <c r="N25" s="38"/>
      <c r="O25" s="45"/>
      <c r="P25" s="38"/>
      <c r="Q25" s="45"/>
      <c r="R25" s="38"/>
      <c r="S25" s="39"/>
      <c r="T25" s="31">
        <f t="shared" ref="T25" si="5">R24-P24</f>
        <v>0</v>
      </c>
      <c r="U25" s="78"/>
      <c r="V25" s="81"/>
      <c r="W25" s="81"/>
      <c r="X25" s="81"/>
      <c r="Y25" s="84"/>
      <c r="Z25" s="34"/>
      <c r="AA25" s="29"/>
      <c r="AB25" s="29"/>
      <c r="AC25" s="97"/>
      <c r="AD25" s="104"/>
      <c r="AE25" s="102"/>
    </row>
    <row r="26" spans="1:31" ht="17.100000000000001" customHeight="1" thickBot="1" x14ac:dyDescent="0.3">
      <c r="A26" s="52"/>
      <c r="B26" s="67"/>
      <c r="C26" s="73"/>
      <c r="D26" s="74"/>
      <c r="E26" s="75"/>
      <c r="F26" s="73"/>
      <c r="G26" s="75"/>
      <c r="H26" s="60"/>
      <c r="I26" s="25"/>
      <c r="J26" s="89"/>
      <c r="K26" s="72"/>
      <c r="L26" s="19" t="s">
        <v>52</v>
      </c>
      <c r="M26" s="67"/>
      <c r="N26" s="92"/>
      <c r="O26" s="93"/>
      <c r="P26" s="92"/>
      <c r="Q26" s="93"/>
      <c r="R26" s="92"/>
      <c r="S26" s="95"/>
      <c r="T26" s="33"/>
      <c r="U26" s="79"/>
      <c r="V26" s="82"/>
      <c r="W26" s="82"/>
      <c r="X26" s="82"/>
      <c r="Y26" s="85"/>
      <c r="Z26" s="35"/>
      <c r="AA26" s="30"/>
      <c r="AB26" s="30"/>
      <c r="AC26" s="105"/>
      <c r="AD26" s="106"/>
      <c r="AE26" s="103"/>
    </row>
    <row r="27" spans="1:31" ht="17.100000000000001" customHeight="1" x14ac:dyDescent="0.25">
      <c r="A27" s="50">
        <v>46023</v>
      </c>
      <c r="B27" s="53"/>
      <c r="C27" s="55"/>
      <c r="D27" s="56"/>
      <c r="E27" s="57"/>
      <c r="F27" s="55"/>
      <c r="G27" s="57"/>
      <c r="H27" s="58"/>
      <c r="I27" s="26"/>
      <c r="J27" s="61"/>
      <c r="K27" s="64"/>
      <c r="L27" s="11"/>
      <c r="M27" s="53"/>
      <c r="N27" s="42"/>
      <c r="O27" s="43"/>
      <c r="P27" s="36"/>
      <c r="Q27" s="43"/>
      <c r="R27" s="36"/>
      <c r="S27" s="37"/>
      <c r="T27" s="76">
        <f t="shared" ref="T27" si="6">R27-P27</f>
        <v>0</v>
      </c>
      <c r="U27" s="77"/>
      <c r="V27" s="80"/>
      <c r="W27" s="80"/>
      <c r="X27" s="80"/>
      <c r="Y27" s="83"/>
      <c r="Z27" s="86"/>
      <c r="AA27" s="48"/>
      <c r="AB27" s="48"/>
      <c r="AC27" s="96"/>
      <c r="AD27" s="99"/>
      <c r="AE27" s="101"/>
    </row>
    <row r="28" spans="1:31" ht="17.100000000000001" customHeight="1" x14ac:dyDescent="0.25">
      <c r="A28" s="51"/>
      <c r="B28" s="54"/>
      <c r="C28" s="68"/>
      <c r="D28" s="69"/>
      <c r="E28" s="70"/>
      <c r="F28" s="68"/>
      <c r="G28" s="70"/>
      <c r="H28" s="59"/>
      <c r="I28" s="24"/>
      <c r="J28" s="62"/>
      <c r="K28" s="65"/>
      <c r="L28" s="21"/>
      <c r="M28" s="54"/>
      <c r="N28" s="44"/>
      <c r="O28" s="45"/>
      <c r="P28" s="38"/>
      <c r="Q28" s="45"/>
      <c r="R28" s="38"/>
      <c r="S28" s="39"/>
      <c r="T28" s="32"/>
      <c r="U28" s="78"/>
      <c r="V28" s="81"/>
      <c r="W28" s="81"/>
      <c r="X28" s="81"/>
      <c r="Y28" s="84"/>
      <c r="Z28" s="34"/>
      <c r="AA28" s="29"/>
      <c r="AB28" s="29"/>
      <c r="AC28" s="97"/>
      <c r="AD28" s="100"/>
      <c r="AE28" s="102"/>
    </row>
    <row r="29" spans="1:31" ht="17.100000000000001" customHeight="1" x14ac:dyDescent="0.25">
      <c r="A29" s="51"/>
      <c r="B29" s="66"/>
      <c r="C29" s="68"/>
      <c r="D29" s="69"/>
      <c r="E29" s="70"/>
      <c r="F29" s="68"/>
      <c r="G29" s="70"/>
      <c r="H29" s="59"/>
      <c r="I29" s="27"/>
      <c r="J29" s="63"/>
      <c r="K29" s="71"/>
      <c r="L29" s="18"/>
      <c r="M29" s="66"/>
      <c r="N29" s="46"/>
      <c r="O29" s="47"/>
      <c r="P29" s="40"/>
      <c r="Q29" s="47"/>
      <c r="R29" s="40"/>
      <c r="S29" s="41"/>
      <c r="T29" s="31">
        <f>(P30-P27)+(R27-R30)</f>
        <v>0</v>
      </c>
      <c r="U29" s="78"/>
      <c r="V29" s="81"/>
      <c r="W29" s="81"/>
      <c r="X29" s="81"/>
      <c r="Y29" s="84"/>
      <c r="Z29" s="87"/>
      <c r="AA29" s="49"/>
      <c r="AB29" s="49"/>
      <c r="AC29" s="98"/>
      <c r="AD29" s="104"/>
      <c r="AE29" s="102"/>
    </row>
    <row r="30" spans="1:31" ht="17.100000000000001" customHeight="1" x14ac:dyDescent="0.25">
      <c r="A30" s="51"/>
      <c r="B30" s="54"/>
      <c r="C30" s="68"/>
      <c r="D30" s="69"/>
      <c r="E30" s="70"/>
      <c r="F30" s="68"/>
      <c r="G30" s="70"/>
      <c r="H30" s="59"/>
      <c r="I30" s="23"/>
      <c r="J30" s="88"/>
      <c r="K30" s="65"/>
      <c r="L30" s="18"/>
      <c r="M30" s="54"/>
      <c r="N30" s="90">
        <f>(P27-N27)+(P30-P27)+(R27-R30)</f>
        <v>0</v>
      </c>
      <c r="O30" s="91"/>
      <c r="P30" s="90"/>
      <c r="Q30" s="91"/>
      <c r="R30" s="90"/>
      <c r="S30" s="94"/>
      <c r="T30" s="32"/>
      <c r="U30" s="78"/>
      <c r="V30" s="81"/>
      <c r="W30" s="81"/>
      <c r="X30" s="81"/>
      <c r="Y30" s="84"/>
      <c r="Z30" s="34"/>
      <c r="AA30" s="28"/>
      <c r="AB30" s="28"/>
      <c r="AC30" s="97"/>
      <c r="AD30" s="100"/>
      <c r="AE30" s="102"/>
    </row>
    <row r="31" spans="1:31" ht="17.100000000000001" customHeight="1" x14ac:dyDescent="0.25">
      <c r="A31" s="51"/>
      <c r="B31" s="66"/>
      <c r="C31" s="68"/>
      <c r="D31" s="69"/>
      <c r="E31" s="70"/>
      <c r="F31" s="68"/>
      <c r="G31" s="70"/>
      <c r="H31" s="59"/>
      <c r="I31" s="24"/>
      <c r="J31" s="62"/>
      <c r="K31" s="71" t="s">
        <v>51</v>
      </c>
      <c r="L31" s="20" t="s">
        <v>51</v>
      </c>
      <c r="M31" s="66" t="s">
        <v>51</v>
      </c>
      <c r="N31" s="38"/>
      <c r="O31" s="45"/>
      <c r="P31" s="38"/>
      <c r="Q31" s="45"/>
      <c r="R31" s="38"/>
      <c r="S31" s="39"/>
      <c r="T31" s="31">
        <f t="shared" ref="T31" si="7">R30-P30</f>
        <v>0</v>
      </c>
      <c r="U31" s="78"/>
      <c r="V31" s="81"/>
      <c r="W31" s="81"/>
      <c r="X31" s="81"/>
      <c r="Y31" s="84"/>
      <c r="Z31" s="34"/>
      <c r="AA31" s="29"/>
      <c r="AB31" s="29"/>
      <c r="AC31" s="97"/>
      <c r="AD31" s="104"/>
      <c r="AE31" s="102"/>
    </row>
    <row r="32" spans="1:31" ht="17.100000000000001" customHeight="1" thickBot="1" x14ac:dyDescent="0.3">
      <c r="A32" s="52"/>
      <c r="B32" s="67"/>
      <c r="C32" s="73"/>
      <c r="D32" s="74"/>
      <c r="E32" s="75"/>
      <c r="F32" s="73"/>
      <c r="G32" s="75"/>
      <c r="H32" s="60"/>
      <c r="I32" s="25"/>
      <c r="J32" s="89"/>
      <c r="K32" s="72"/>
      <c r="L32" s="19" t="s">
        <v>52</v>
      </c>
      <c r="M32" s="67"/>
      <c r="N32" s="92"/>
      <c r="O32" s="93"/>
      <c r="P32" s="92"/>
      <c r="Q32" s="93"/>
      <c r="R32" s="92"/>
      <c r="S32" s="95"/>
      <c r="T32" s="33"/>
      <c r="U32" s="79"/>
      <c r="V32" s="82"/>
      <c r="W32" s="82"/>
      <c r="X32" s="82"/>
      <c r="Y32" s="85"/>
      <c r="Z32" s="35"/>
      <c r="AA32" s="30"/>
      <c r="AB32" s="30"/>
      <c r="AC32" s="105"/>
      <c r="AD32" s="106"/>
      <c r="AE32" s="103"/>
    </row>
    <row r="33" spans="1:31" ht="17.100000000000001" customHeight="1" thickBot="1" x14ac:dyDescent="0.3">
      <c r="A33" s="3"/>
      <c r="B33" s="9"/>
      <c r="C33" s="9"/>
      <c r="D33" s="9"/>
      <c r="E33" s="9"/>
      <c r="F33" s="9"/>
      <c r="G33" s="9"/>
      <c r="H33" s="14"/>
      <c r="I33" s="14"/>
      <c r="J33" s="9"/>
      <c r="K33" s="22"/>
      <c r="L33" s="22"/>
      <c r="M33" s="22"/>
      <c r="N33" s="2"/>
      <c r="O33" s="2"/>
      <c r="P33" s="2"/>
      <c r="Q33" s="2"/>
      <c r="R33" s="2"/>
      <c r="S33" s="2"/>
      <c r="T33" s="2"/>
      <c r="U33" s="4"/>
      <c r="V33" s="4"/>
      <c r="W33" s="4"/>
      <c r="X33" s="4"/>
      <c r="Y33" s="4"/>
      <c r="Z33" s="10"/>
      <c r="AA33" s="10"/>
      <c r="AB33" s="10"/>
      <c r="AC33" s="10"/>
      <c r="AD33" s="10"/>
      <c r="AE33" s="5"/>
    </row>
    <row r="34" spans="1:31" ht="17.100000000000001" customHeight="1" x14ac:dyDescent="0.25">
      <c r="A34" s="50">
        <v>46023</v>
      </c>
      <c r="B34" s="53"/>
      <c r="C34" s="55"/>
      <c r="D34" s="56"/>
      <c r="E34" s="57"/>
      <c r="F34" s="55"/>
      <c r="G34" s="57"/>
      <c r="H34" s="58"/>
      <c r="I34" s="26"/>
      <c r="J34" s="61"/>
      <c r="K34" s="64"/>
      <c r="L34" s="11"/>
      <c r="M34" s="53"/>
      <c r="N34" s="42"/>
      <c r="O34" s="43"/>
      <c r="P34" s="36"/>
      <c r="Q34" s="43"/>
      <c r="R34" s="36"/>
      <c r="S34" s="37"/>
      <c r="T34" s="76">
        <f t="shared" ref="T34" si="8">R34-P34</f>
        <v>0</v>
      </c>
      <c r="U34" s="77"/>
      <c r="V34" s="80"/>
      <c r="W34" s="80"/>
      <c r="X34" s="80"/>
      <c r="Y34" s="83"/>
      <c r="Z34" s="86"/>
      <c r="AA34" s="48"/>
      <c r="AB34" s="48"/>
      <c r="AC34" s="96"/>
      <c r="AD34" s="99"/>
      <c r="AE34" s="101"/>
    </row>
    <row r="35" spans="1:31" ht="17.100000000000001" customHeight="1" x14ac:dyDescent="0.25">
      <c r="A35" s="51"/>
      <c r="B35" s="54"/>
      <c r="C35" s="68"/>
      <c r="D35" s="69"/>
      <c r="E35" s="70"/>
      <c r="F35" s="68"/>
      <c r="G35" s="70"/>
      <c r="H35" s="59"/>
      <c r="I35" s="24"/>
      <c r="J35" s="62"/>
      <c r="K35" s="65"/>
      <c r="L35" s="21"/>
      <c r="M35" s="54"/>
      <c r="N35" s="44"/>
      <c r="O35" s="45"/>
      <c r="P35" s="38"/>
      <c r="Q35" s="45"/>
      <c r="R35" s="38"/>
      <c r="S35" s="39"/>
      <c r="T35" s="32"/>
      <c r="U35" s="78"/>
      <c r="V35" s="81"/>
      <c r="W35" s="81"/>
      <c r="X35" s="81"/>
      <c r="Y35" s="84"/>
      <c r="Z35" s="34"/>
      <c r="AA35" s="29"/>
      <c r="AB35" s="29"/>
      <c r="AC35" s="97"/>
      <c r="AD35" s="100"/>
      <c r="AE35" s="102"/>
    </row>
    <row r="36" spans="1:31" ht="17.100000000000001" customHeight="1" x14ac:dyDescent="0.25">
      <c r="A36" s="51"/>
      <c r="B36" s="66"/>
      <c r="C36" s="68"/>
      <c r="D36" s="69"/>
      <c r="E36" s="70"/>
      <c r="F36" s="68"/>
      <c r="G36" s="70"/>
      <c r="H36" s="59"/>
      <c r="I36" s="27"/>
      <c r="J36" s="63"/>
      <c r="K36" s="71"/>
      <c r="L36" s="18"/>
      <c r="M36" s="66"/>
      <c r="N36" s="46"/>
      <c r="O36" s="47"/>
      <c r="P36" s="40"/>
      <c r="Q36" s="47"/>
      <c r="R36" s="40"/>
      <c r="S36" s="41"/>
      <c r="T36" s="31">
        <f>(P37-P34)+(R34-R37)</f>
        <v>0</v>
      </c>
      <c r="U36" s="78"/>
      <c r="V36" s="81"/>
      <c r="W36" s="81"/>
      <c r="X36" s="81"/>
      <c r="Y36" s="84"/>
      <c r="Z36" s="87"/>
      <c r="AA36" s="49"/>
      <c r="AB36" s="49"/>
      <c r="AC36" s="98"/>
      <c r="AD36" s="104"/>
      <c r="AE36" s="102"/>
    </row>
    <row r="37" spans="1:31" ht="17.100000000000001" customHeight="1" x14ac:dyDescent="0.25">
      <c r="A37" s="51"/>
      <c r="B37" s="54"/>
      <c r="C37" s="68"/>
      <c r="D37" s="69"/>
      <c r="E37" s="70"/>
      <c r="F37" s="68"/>
      <c r="G37" s="70"/>
      <c r="H37" s="59"/>
      <c r="I37" s="23"/>
      <c r="J37" s="88"/>
      <c r="K37" s="65"/>
      <c r="L37" s="18"/>
      <c r="M37" s="54"/>
      <c r="N37" s="90">
        <f>(P34-N34)+(P37-P34)+(R34-R37)</f>
        <v>0</v>
      </c>
      <c r="O37" s="91"/>
      <c r="P37" s="90"/>
      <c r="Q37" s="91"/>
      <c r="R37" s="90"/>
      <c r="S37" s="94"/>
      <c r="T37" s="32"/>
      <c r="U37" s="78"/>
      <c r="V37" s="81"/>
      <c r="W37" s="81"/>
      <c r="X37" s="81"/>
      <c r="Y37" s="84"/>
      <c r="Z37" s="34"/>
      <c r="AA37" s="28"/>
      <c r="AB37" s="28"/>
      <c r="AC37" s="97"/>
      <c r="AD37" s="100"/>
      <c r="AE37" s="102"/>
    </row>
    <row r="38" spans="1:31" ht="17.100000000000001" customHeight="1" x14ac:dyDescent="0.25">
      <c r="A38" s="51"/>
      <c r="B38" s="66"/>
      <c r="C38" s="68"/>
      <c r="D38" s="69"/>
      <c r="E38" s="70"/>
      <c r="F38" s="68"/>
      <c r="G38" s="70"/>
      <c r="H38" s="59"/>
      <c r="I38" s="24"/>
      <c r="J38" s="62"/>
      <c r="K38" s="71" t="s">
        <v>51</v>
      </c>
      <c r="L38" s="20" t="s">
        <v>51</v>
      </c>
      <c r="M38" s="66" t="s">
        <v>51</v>
      </c>
      <c r="N38" s="38"/>
      <c r="O38" s="45"/>
      <c r="P38" s="38"/>
      <c r="Q38" s="45"/>
      <c r="R38" s="38"/>
      <c r="S38" s="39"/>
      <c r="T38" s="31">
        <f t="shared" ref="T38" si="9">R37-P37</f>
        <v>0</v>
      </c>
      <c r="U38" s="78"/>
      <c r="V38" s="81"/>
      <c r="W38" s="81"/>
      <c r="X38" s="81"/>
      <c r="Y38" s="84"/>
      <c r="Z38" s="34"/>
      <c r="AA38" s="29"/>
      <c r="AB38" s="29"/>
      <c r="AC38" s="97"/>
      <c r="AD38" s="104"/>
      <c r="AE38" s="102"/>
    </row>
    <row r="39" spans="1:31" ht="17.100000000000001" customHeight="1" thickBot="1" x14ac:dyDescent="0.3">
      <c r="A39" s="52"/>
      <c r="B39" s="67"/>
      <c r="C39" s="73"/>
      <c r="D39" s="74"/>
      <c r="E39" s="75"/>
      <c r="F39" s="73"/>
      <c r="G39" s="75"/>
      <c r="H39" s="60"/>
      <c r="I39" s="25"/>
      <c r="J39" s="89"/>
      <c r="K39" s="72"/>
      <c r="L39" s="19" t="s">
        <v>52</v>
      </c>
      <c r="M39" s="67"/>
      <c r="N39" s="92"/>
      <c r="O39" s="93"/>
      <c r="P39" s="92"/>
      <c r="Q39" s="93"/>
      <c r="R39" s="92"/>
      <c r="S39" s="95"/>
      <c r="T39" s="33"/>
      <c r="U39" s="79"/>
      <c r="V39" s="82"/>
      <c r="W39" s="82"/>
      <c r="X39" s="82"/>
      <c r="Y39" s="85"/>
      <c r="Z39" s="35"/>
      <c r="AA39" s="30"/>
      <c r="AB39" s="30"/>
      <c r="AC39" s="105"/>
      <c r="AD39" s="106"/>
      <c r="AE39" s="103"/>
    </row>
    <row r="40" spans="1:31" ht="17.100000000000001" customHeight="1" x14ac:dyDescent="0.25">
      <c r="A40" s="50">
        <v>46023</v>
      </c>
      <c r="B40" s="53"/>
      <c r="C40" s="55"/>
      <c r="D40" s="56"/>
      <c r="E40" s="57"/>
      <c r="F40" s="55"/>
      <c r="G40" s="57"/>
      <c r="H40" s="58"/>
      <c r="I40" s="26"/>
      <c r="J40" s="61"/>
      <c r="K40" s="64"/>
      <c r="L40" s="11"/>
      <c r="M40" s="53"/>
      <c r="N40" s="42"/>
      <c r="O40" s="43"/>
      <c r="P40" s="36"/>
      <c r="Q40" s="43"/>
      <c r="R40" s="36"/>
      <c r="S40" s="37"/>
      <c r="T40" s="76">
        <f t="shared" ref="T40" si="10">R40-P40</f>
        <v>0</v>
      </c>
      <c r="U40" s="77"/>
      <c r="V40" s="80"/>
      <c r="W40" s="80"/>
      <c r="X40" s="80"/>
      <c r="Y40" s="83"/>
      <c r="Z40" s="86"/>
      <c r="AA40" s="48"/>
      <c r="AB40" s="48"/>
      <c r="AC40" s="96"/>
      <c r="AD40" s="99"/>
      <c r="AE40" s="101"/>
    </row>
    <row r="41" spans="1:31" ht="17.100000000000001" customHeight="1" x14ac:dyDescent="0.25">
      <c r="A41" s="51"/>
      <c r="B41" s="54"/>
      <c r="C41" s="68"/>
      <c r="D41" s="69"/>
      <c r="E41" s="70"/>
      <c r="F41" s="68"/>
      <c r="G41" s="70"/>
      <c r="H41" s="59"/>
      <c r="I41" s="24"/>
      <c r="J41" s="62"/>
      <c r="K41" s="65"/>
      <c r="L41" s="17"/>
      <c r="M41" s="54"/>
      <c r="N41" s="44"/>
      <c r="O41" s="45"/>
      <c r="P41" s="38"/>
      <c r="Q41" s="45"/>
      <c r="R41" s="38"/>
      <c r="S41" s="39"/>
      <c r="T41" s="32"/>
      <c r="U41" s="78"/>
      <c r="V41" s="81"/>
      <c r="W41" s="81"/>
      <c r="X41" s="81"/>
      <c r="Y41" s="84"/>
      <c r="Z41" s="34"/>
      <c r="AA41" s="29"/>
      <c r="AB41" s="29"/>
      <c r="AC41" s="97"/>
      <c r="AD41" s="100"/>
      <c r="AE41" s="102"/>
    </row>
    <row r="42" spans="1:31" ht="17.100000000000001" customHeight="1" x14ac:dyDescent="0.25">
      <c r="A42" s="51"/>
      <c r="B42" s="66"/>
      <c r="C42" s="68"/>
      <c r="D42" s="69"/>
      <c r="E42" s="70"/>
      <c r="F42" s="68"/>
      <c r="G42" s="70"/>
      <c r="H42" s="59"/>
      <c r="I42" s="27"/>
      <c r="J42" s="63"/>
      <c r="K42" s="71"/>
      <c r="L42" s="18"/>
      <c r="M42" s="66"/>
      <c r="N42" s="46"/>
      <c r="O42" s="47"/>
      <c r="P42" s="40"/>
      <c r="Q42" s="47"/>
      <c r="R42" s="40"/>
      <c r="S42" s="41"/>
      <c r="T42" s="31">
        <f>(P43-P40)+(R40-R43)</f>
        <v>0</v>
      </c>
      <c r="U42" s="78"/>
      <c r="V42" s="81"/>
      <c r="W42" s="81"/>
      <c r="X42" s="81"/>
      <c r="Y42" s="84"/>
      <c r="Z42" s="87"/>
      <c r="AA42" s="49"/>
      <c r="AB42" s="49"/>
      <c r="AC42" s="98"/>
      <c r="AD42" s="104"/>
      <c r="AE42" s="102"/>
    </row>
    <row r="43" spans="1:31" ht="17.100000000000001" customHeight="1" x14ac:dyDescent="0.25">
      <c r="A43" s="51"/>
      <c r="B43" s="54"/>
      <c r="C43" s="68"/>
      <c r="D43" s="69"/>
      <c r="E43" s="70"/>
      <c r="F43" s="68"/>
      <c r="G43" s="70"/>
      <c r="H43" s="59"/>
      <c r="I43" s="23"/>
      <c r="J43" s="88"/>
      <c r="K43" s="65"/>
      <c r="L43" s="18"/>
      <c r="M43" s="54"/>
      <c r="N43" s="90">
        <f>(P40-N40)+(P43-P40)+(R40-R43)</f>
        <v>0</v>
      </c>
      <c r="O43" s="91"/>
      <c r="P43" s="90"/>
      <c r="Q43" s="91"/>
      <c r="R43" s="90"/>
      <c r="S43" s="94"/>
      <c r="T43" s="32"/>
      <c r="U43" s="78"/>
      <c r="V43" s="81"/>
      <c r="W43" s="81"/>
      <c r="X43" s="81"/>
      <c r="Y43" s="84"/>
      <c r="Z43" s="34"/>
      <c r="AA43" s="28"/>
      <c r="AB43" s="28"/>
      <c r="AC43" s="97"/>
      <c r="AD43" s="100"/>
      <c r="AE43" s="102"/>
    </row>
    <row r="44" spans="1:31" ht="17.100000000000001" customHeight="1" x14ac:dyDescent="0.25">
      <c r="A44" s="51"/>
      <c r="B44" s="66"/>
      <c r="C44" s="68"/>
      <c r="D44" s="69"/>
      <c r="E44" s="70"/>
      <c r="F44" s="68"/>
      <c r="G44" s="70"/>
      <c r="H44" s="59"/>
      <c r="I44" s="24"/>
      <c r="J44" s="62"/>
      <c r="K44" s="71" t="s">
        <v>51</v>
      </c>
      <c r="L44" s="16" t="s">
        <v>51</v>
      </c>
      <c r="M44" s="66" t="s">
        <v>51</v>
      </c>
      <c r="N44" s="38"/>
      <c r="O44" s="45"/>
      <c r="P44" s="38"/>
      <c r="Q44" s="45"/>
      <c r="R44" s="38"/>
      <c r="S44" s="39"/>
      <c r="T44" s="31">
        <f t="shared" ref="T44" si="11">R43-P43</f>
        <v>0</v>
      </c>
      <c r="U44" s="78"/>
      <c r="V44" s="81"/>
      <c r="W44" s="81"/>
      <c r="X44" s="81"/>
      <c r="Y44" s="84"/>
      <c r="Z44" s="34"/>
      <c r="AA44" s="29"/>
      <c r="AB44" s="29"/>
      <c r="AC44" s="97"/>
      <c r="AD44" s="104"/>
      <c r="AE44" s="102"/>
    </row>
    <row r="45" spans="1:31" ht="17.100000000000001" customHeight="1" thickBot="1" x14ac:dyDescent="0.3">
      <c r="A45" s="52"/>
      <c r="B45" s="67"/>
      <c r="C45" s="73"/>
      <c r="D45" s="74"/>
      <c r="E45" s="75"/>
      <c r="F45" s="73"/>
      <c r="G45" s="75"/>
      <c r="H45" s="60"/>
      <c r="I45" s="25"/>
      <c r="J45" s="89"/>
      <c r="K45" s="72"/>
      <c r="L45" s="19" t="s">
        <v>52</v>
      </c>
      <c r="M45" s="67"/>
      <c r="N45" s="92"/>
      <c r="O45" s="93"/>
      <c r="P45" s="92"/>
      <c r="Q45" s="93"/>
      <c r="R45" s="92"/>
      <c r="S45" s="95"/>
      <c r="T45" s="33"/>
      <c r="U45" s="79"/>
      <c r="V45" s="82"/>
      <c r="W45" s="82"/>
      <c r="X45" s="82"/>
      <c r="Y45" s="85"/>
      <c r="Z45" s="35"/>
      <c r="AA45" s="30"/>
      <c r="AB45" s="30"/>
      <c r="AC45" s="105"/>
      <c r="AD45" s="106"/>
      <c r="AE45" s="103"/>
    </row>
    <row r="46" spans="1:31" ht="17.100000000000001" customHeight="1" x14ac:dyDescent="0.25">
      <c r="A46" s="50">
        <v>46023</v>
      </c>
      <c r="B46" s="53"/>
      <c r="C46" s="55"/>
      <c r="D46" s="56"/>
      <c r="E46" s="57"/>
      <c r="F46" s="55"/>
      <c r="G46" s="57"/>
      <c r="H46" s="58"/>
      <c r="I46" s="26"/>
      <c r="J46" s="61"/>
      <c r="K46" s="64"/>
      <c r="L46" s="11"/>
      <c r="M46" s="53"/>
      <c r="N46" s="42"/>
      <c r="O46" s="43"/>
      <c r="P46" s="36"/>
      <c r="Q46" s="43"/>
      <c r="R46" s="36"/>
      <c r="S46" s="37"/>
      <c r="T46" s="76">
        <f t="shared" ref="T46" si="12">R46-P46</f>
        <v>0</v>
      </c>
      <c r="U46" s="77"/>
      <c r="V46" s="80"/>
      <c r="W46" s="80"/>
      <c r="X46" s="80"/>
      <c r="Y46" s="83"/>
      <c r="Z46" s="86"/>
      <c r="AA46" s="48"/>
      <c r="AB46" s="48"/>
      <c r="AC46" s="96"/>
      <c r="AD46" s="99"/>
      <c r="AE46" s="101"/>
    </row>
    <row r="47" spans="1:31" ht="17.100000000000001" customHeight="1" x14ac:dyDescent="0.25">
      <c r="A47" s="51"/>
      <c r="B47" s="54"/>
      <c r="C47" s="68"/>
      <c r="D47" s="69"/>
      <c r="E47" s="70"/>
      <c r="F47" s="68"/>
      <c r="G47" s="70"/>
      <c r="H47" s="59"/>
      <c r="I47" s="24"/>
      <c r="J47" s="62"/>
      <c r="K47" s="65"/>
      <c r="L47" s="17"/>
      <c r="M47" s="54"/>
      <c r="N47" s="44"/>
      <c r="O47" s="45"/>
      <c r="P47" s="38"/>
      <c r="Q47" s="45"/>
      <c r="R47" s="38"/>
      <c r="S47" s="39"/>
      <c r="T47" s="32"/>
      <c r="U47" s="78"/>
      <c r="V47" s="81"/>
      <c r="W47" s="81"/>
      <c r="X47" s="81"/>
      <c r="Y47" s="84"/>
      <c r="Z47" s="34"/>
      <c r="AA47" s="29"/>
      <c r="AB47" s="29"/>
      <c r="AC47" s="97"/>
      <c r="AD47" s="100"/>
      <c r="AE47" s="102"/>
    </row>
    <row r="48" spans="1:31" ht="17.100000000000001" customHeight="1" x14ac:dyDescent="0.25">
      <c r="A48" s="51"/>
      <c r="B48" s="66"/>
      <c r="C48" s="68"/>
      <c r="D48" s="69"/>
      <c r="E48" s="70"/>
      <c r="F48" s="68"/>
      <c r="G48" s="70"/>
      <c r="H48" s="59"/>
      <c r="I48" s="27"/>
      <c r="J48" s="63"/>
      <c r="K48" s="71"/>
      <c r="L48" s="18"/>
      <c r="M48" s="66"/>
      <c r="N48" s="46"/>
      <c r="O48" s="47"/>
      <c r="P48" s="40"/>
      <c r="Q48" s="47"/>
      <c r="R48" s="40"/>
      <c r="S48" s="41"/>
      <c r="T48" s="31">
        <f>(P49-P46)+(R46-R49)</f>
        <v>0</v>
      </c>
      <c r="U48" s="78"/>
      <c r="V48" s="81"/>
      <c r="W48" s="81"/>
      <c r="X48" s="81"/>
      <c r="Y48" s="84"/>
      <c r="Z48" s="87"/>
      <c r="AA48" s="49"/>
      <c r="AB48" s="49"/>
      <c r="AC48" s="98"/>
      <c r="AD48" s="104"/>
      <c r="AE48" s="102"/>
    </row>
    <row r="49" spans="1:31" ht="17.100000000000001" customHeight="1" x14ac:dyDescent="0.25">
      <c r="A49" s="51"/>
      <c r="B49" s="54"/>
      <c r="C49" s="68"/>
      <c r="D49" s="69"/>
      <c r="E49" s="70"/>
      <c r="F49" s="68"/>
      <c r="G49" s="70"/>
      <c r="H49" s="59"/>
      <c r="I49" s="23"/>
      <c r="J49" s="88"/>
      <c r="K49" s="65"/>
      <c r="L49" s="18"/>
      <c r="M49" s="54"/>
      <c r="N49" s="90">
        <f>(P46-N46)+(P49-P46)+(R46-R49)</f>
        <v>0</v>
      </c>
      <c r="O49" s="91"/>
      <c r="P49" s="90"/>
      <c r="Q49" s="91"/>
      <c r="R49" s="90"/>
      <c r="S49" s="94"/>
      <c r="T49" s="32"/>
      <c r="U49" s="78"/>
      <c r="V49" s="81"/>
      <c r="W49" s="81"/>
      <c r="X49" s="81"/>
      <c r="Y49" s="84"/>
      <c r="Z49" s="34"/>
      <c r="AA49" s="28"/>
      <c r="AB49" s="28"/>
      <c r="AC49" s="97"/>
      <c r="AD49" s="100"/>
      <c r="AE49" s="102"/>
    </row>
    <row r="50" spans="1:31" ht="17.100000000000001" customHeight="1" x14ac:dyDescent="0.25">
      <c r="A50" s="51"/>
      <c r="B50" s="66"/>
      <c r="C50" s="68"/>
      <c r="D50" s="69"/>
      <c r="E50" s="70"/>
      <c r="F50" s="68"/>
      <c r="G50" s="70"/>
      <c r="H50" s="59"/>
      <c r="I50" s="24"/>
      <c r="J50" s="62"/>
      <c r="K50" s="71" t="s">
        <v>51</v>
      </c>
      <c r="L50" s="16" t="s">
        <v>51</v>
      </c>
      <c r="M50" s="66" t="s">
        <v>51</v>
      </c>
      <c r="N50" s="38"/>
      <c r="O50" s="45"/>
      <c r="P50" s="38"/>
      <c r="Q50" s="45"/>
      <c r="R50" s="38"/>
      <c r="S50" s="39"/>
      <c r="T50" s="31">
        <f t="shared" ref="T50" si="13">R49-P49</f>
        <v>0</v>
      </c>
      <c r="U50" s="78"/>
      <c r="V50" s="81"/>
      <c r="W50" s="81"/>
      <c r="X50" s="81"/>
      <c r="Y50" s="84"/>
      <c r="Z50" s="34"/>
      <c r="AA50" s="29"/>
      <c r="AB50" s="29"/>
      <c r="AC50" s="97"/>
      <c r="AD50" s="104"/>
      <c r="AE50" s="102"/>
    </row>
    <row r="51" spans="1:31" ht="17.100000000000001" customHeight="1" thickBot="1" x14ac:dyDescent="0.3">
      <c r="A51" s="52"/>
      <c r="B51" s="67"/>
      <c r="C51" s="73"/>
      <c r="D51" s="74"/>
      <c r="E51" s="75"/>
      <c r="F51" s="73"/>
      <c r="G51" s="75"/>
      <c r="H51" s="60"/>
      <c r="I51" s="25"/>
      <c r="J51" s="89"/>
      <c r="K51" s="72"/>
      <c r="L51" s="19" t="s">
        <v>52</v>
      </c>
      <c r="M51" s="67"/>
      <c r="N51" s="92"/>
      <c r="O51" s="93"/>
      <c r="P51" s="92"/>
      <c r="Q51" s="93"/>
      <c r="R51" s="92"/>
      <c r="S51" s="95"/>
      <c r="T51" s="33"/>
      <c r="U51" s="79"/>
      <c r="V51" s="82"/>
      <c r="W51" s="82"/>
      <c r="X51" s="82"/>
      <c r="Y51" s="85"/>
      <c r="Z51" s="35"/>
      <c r="AA51" s="30"/>
      <c r="AB51" s="30"/>
      <c r="AC51" s="105"/>
      <c r="AD51" s="106"/>
      <c r="AE51" s="103"/>
    </row>
    <row r="52" spans="1:31" ht="17.100000000000001" customHeight="1" x14ac:dyDescent="0.25">
      <c r="A52" s="50">
        <v>46023</v>
      </c>
      <c r="B52" s="53"/>
      <c r="C52" s="55"/>
      <c r="D52" s="56"/>
      <c r="E52" s="57"/>
      <c r="F52" s="55"/>
      <c r="G52" s="57"/>
      <c r="H52" s="58"/>
      <c r="I52" s="26"/>
      <c r="J52" s="61"/>
      <c r="K52" s="64"/>
      <c r="L52" s="11"/>
      <c r="M52" s="53"/>
      <c r="N52" s="42"/>
      <c r="O52" s="43"/>
      <c r="P52" s="36"/>
      <c r="Q52" s="43"/>
      <c r="R52" s="36"/>
      <c r="S52" s="37"/>
      <c r="T52" s="76">
        <f t="shared" ref="T52" si="14">R52-P52</f>
        <v>0</v>
      </c>
      <c r="U52" s="77"/>
      <c r="V52" s="80"/>
      <c r="W52" s="80"/>
      <c r="X52" s="80"/>
      <c r="Y52" s="83"/>
      <c r="Z52" s="86"/>
      <c r="AA52" s="48"/>
      <c r="AB52" s="48"/>
      <c r="AC52" s="96"/>
      <c r="AD52" s="99"/>
      <c r="AE52" s="101"/>
    </row>
    <row r="53" spans="1:31" ht="17.100000000000001" customHeight="1" x14ac:dyDescent="0.25">
      <c r="A53" s="51"/>
      <c r="B53" s="54"/>
      <c r="C53" s="68"/>
      <c r="D53" s="69"/>
      <c r="E53" s="70"/>
      <c r="F53" s="68"/>
      <c r="G53" s="70"/>
      <c r="H53" s="59"/>
      <c r="I53" s="24"/>
      <c r="J53" s="62"/>
      <c r="K53" s="65"/>
      <c r="L53" s="17"/>
      <c r="M53" s="54"/>
      <c r="N53" s="44"/>
      <c r="O53" s="45"/>
      <c r="P53" s="38"/>
      <c r="Q53" s="45"/>
      <c r="R53" s="38"/>
      <c r="S53" s="39"/>
      <c r="T53" s="32"/>
      <c r="U53" s="78"/>
      <c r="V53" s="81"/>
      <c r="W53" s="81"/>
      <c r="X53" s="81"/>
      <c r="Y53" s="84"/>
      <c r="Z53" s="34"/>
      <c r="AA53" s="29"/>
      <c r="AB53" s="29"/>
      <c r="AC53" s="97"/>
      <c r="AD53" s="100"/>
      <c r="AE53" s="102"/>
    </row>
    <row r="54" spans="1:31" ht="17.100000000000001" customHeight="1" x14ac:dyDescent="0.25">
      <c r="A54" s="51"/>
      <c r="B54" s="66"/>
      <c r="C54" s="68"/>
      <c r="D54" s="69"/>
      <c r="E54" s="70"/>
      <c r="F54" s="68"/>
      <c r="G54" s="70"/>
      <c r="H54" s="59"/>
      <c r="I54" s="27"/>
      <c r="J54" s="63"/>
      <c r="K54" s="71"/>
      <c r="L54" s="18"/>
      <c r="M54" s="66"/>
      <c r="N54" s="46"/>
      <c r="O54" s="47"/>
      <c r="P54" s="40"/>
      <c r="Q54" s="47"/>
      <c r="R54" s="40"/>
      <c r="S54" s="41"/>
      <c r="T54" s="31">
        <f>(P55-P52)+(R52-R55)</f>
        <v>0</v>
      </c>
      <c r="U54" s="78"/>
      <c r="V54" s="81"/>
      <c r="W54" s="81"/>
      <c r="X54" s="81"/>
      <c r="Y54" s="84"/>
      <c r="Z54" s="87"/>
      <c r="AA54" s="49"/>
      <c r="AB54" s="49"/>
      <c r="AC54" s="98"/>
      <c r="AD54" s="104"/>
      <c r="AE54" s="102"/>
    </row>
    <row r="55" spans="1:31" ht="17.100000000000001" customHeight="1" x14ac:dyDescent="0.25">
      <c r="A55" s="51"/>
      <c r="B55" s="54"/>
      <c r="C55" s="68"/>
      <c r="D55" s="69"/>
      <c r="E55" s="70"/>
      <c r="F55" s="68"/>
      <c r="G55" s="70"/>
      <c r="H55" s="59"/>
      <c r="I55" s="23"/>
      <c r="J55" s="88"/>
      <c r="K55" s="65"/>
      <c r="L55" s="18"/>
      <c r="M55" s="54"/>
      <c r="N55" s="90">
        <f>(P52-N52)+(P55-P52)+(R52-R55)</f>
        <v>0</v>
      </c>
      <c r="O55" s="91"/>
      <c r="P55" s="90"/>
      <c r="Q55" s="91"/>
      <c r="R55" s="90"/>
      <c r="S55" s="94"/>
      <c r="T55" s="32"/>
      <c r="U55" s="78"/>
      <c r="V55" s="81"/>
      <c r="W55" s="81"/>
      <c r="X55" s="81"/>
      <c r="Y55" s="84"/>
      <c r="Z55" s="34"/>
      <c r="AA55" s="28"/>
      <c r="AB55" s="28"/>
      <c r="AC55" s="97"/>
      <c r="AD55" s="100"/>
      <c r="AE55" s="102"/>
    </row>
    <row r="56" spans="1:31" ht="17.100000000000001" customHeight="1" x14ac:dyDescent="0.25">
      <c r="A56" s="51"/>
      <c r="B56" s="66"/>
      <c r="C56" s="68"/>
      <c r="D56" s="69"/>
      <c r="E56" s="70"/>
      <c r="F56" s="68"/>
      <c r="G56" s="70"/>
      <c r="H56" s="59"/>
      <c r="I56" s="24"/>
      <c r="J56" s="62"/>
      <c r="K56" s="71" t="s">
        <v>51</v>
      </c>
      <c r="L56" s="16" t="s">
        <v>51</v>
      </c>
      <c r="M56" s="66" t="s">
        <v>51</v>
      </c>
      <c r="N56" s="38"/>
      <c r="O56" s="45"/>
      <c r="P56" s="38"/>
      <c r="Q56" s="45"/>
      <c r="R56" s="38"/>
      <c r="S56" s="39"/>
      <c r="T56" s="31">
        <f t="shared" ref="T56" si="15">R55-P55</f>
        <v>0</v>
      </c>
      <c r="U56" s="78"/>
      <c r="V56" s="81"/>
      <c r="W56" s="81"/>
      <c r="X56" s="81"/>
      <c r="Y56" s="84"/>
      <c r="Z56" s="34"/>
      <c r="AA56" s="29"/>
      <c r="AB56" s="29"/>
      <c r="AC56" s="97"/>
      <c r="AD56" s="104"/>
      <c r="AE56" s="102"/>
    </row>
    <row r="57" spans="1:31" ht="17.100000000000001" customHeight="1" thickBot="1" x14ac:dyDescent="0.3">
      <c r="A57" s="52"/>
      <c r="B57" s="67"/>
      <c r="C57" s="73"/>
      <c r="D57" s="74"/>
      <c r="E57" s="75"/>
      <c r="F57" s="73"/>
      <c r="G57" s="75"/>
      <c r="H57" s="60"/>
      <c r="I57" s="25"/>
      <c r="J57" s="89"/>
      <c r="K57" s="72"/>
      <c r="L57" s="19" t="s">
        <v>52</v>
      </c>
      <c r="M57" s="67"/>
      <c r="N57" s="92"/>
      <c r="O57" s="93"/>
      <c r="P57" s="92"/>
      <c r="Q57" s="93"/>
      <c r="R57" s="92"/>
      <c r="S57" s="95"/>
      <c r="T57" s="33"/>
      <c r="U57" s="79"/>
      <c r="V57" s="82"/>
      <c r="W57" s="82"/>
      <c r="X57" s="82"/>
      <c r="Y57" s="85"/>
      <c r="Z57" s="35"/>
      <c r="AA57" s="30"/>
      <c r="AB57" s="30"/>
      <c r="AC57" s="105"/>
      <c r="AD57" s="106"/>
      <c r="AE57" s="103"/>
    </row>
    <row r="58" spans="1:31" ht="17.100000000000001" customHeight="1" x14ac:dyDescent="0.25">
      <c r="A58" s="50">
        <v>46023</v>
      </c>
      <c r="B58" s="53"/>
      <c r="C58" s="55"/>
      <c r="D58" s="56"/>
      <c r="E58" s="57"/>
      <c r="F58" s="55"/>
      <c r="G58" s="57"/>
      <c r="H58" s="58"/>
      <c r="I58" s="26"/>
      <c r="J58" s="61"/>
      <c r="K58" s="64"/>
      <c r="L58" s="11"/>
      <c r="M58" s="53"/>
      <c r="N58" s="42"/>
      <c r="O58" s="43"/>
      <c r="P58" s="36"/>
      <c r="Q58" s="43"/>
      <c r="R58" s="36"/>
      <c r="S58" s="37"/>
      <c r="T58" s="76">
        <f t="shared" ref="T58" si="16">R58-P58</f>
        <v>0</v>
      </c>
      <c r="U58" s="77"/>
      <c r="V58" s="80"/>
      <c r="W58" s="80"/>
      <c r="X58" s="80"/>
      <c r="Y58" s="83"/>
      <c r="Z58" s="86"/>
      <c r="AA58" s="48"/>
      <c r="AB58" s="48"/>
      <c r="AC58" s="96"/>
      <c r="AD58" s="99"/>
      <c r="AE58" s="101"/>
    </row>
    <row r="59" spans="1:31" ht="17.100000000000001" customHeight="1" x14ac:dyDescent="0.25">
      <c r="A59" s="51"/>
      <c r="B59" s="54"/>
      <c r="C59" s="68"/>
      <c r="D59" s="69"/>
      <c r="E59" s="70"/>
      <c r="F59" s="68"/>
      <c r="G59" s="70"/>
      <c r="H59" s="59"/>
      <c r="I59" s="24"/>
      <c r="J59" s="62"/>
      <c r="K59" s="65"/>
      <c r="L59" s="17"/>
      <c r="M59" s="54"/>
      <c r="N59" s="44"/>
      <c r="O59" s="45"/>
      <c r="P59" s="38"/>
      <c r="Q59" s="45"/>
      <c r="R59" s="38"/>
      <c r="S59" s="39"/>
      <c r="T59" s="32"/>
      <c r="U59" s="78"/>
      <c r="V59" s="81"/>
      <c r="W59" s="81"/>
      <c r="X59" s="81"/>
      <c r="Y59" s="84"/>
      <c r="Z59" s="34"/>
      <c r="AA59" s="29"/>
      <c r="AB59" s="29"/>
      <c r="AC59" s="97"/>
      <c r="AD59" s="100"/>
      <c r="AE59" s="102"/>
    </row>
    <row r="60" spans="1:31" ht="17.100000000000001" customHeight="1" x14ac:dyDescent="0.25">
      <c r="A60" s="51"/>
      <c r="B60" s="66"/>
      <c r="C60" s="68"/>
      <c r="D60" s="69"/>
      <c r="E60" s="70"/>
      <c r="F60" s="68"/>
      <c r="G60" s="70"/>
      <c r="H60" s="59"/>
      <c r="I60" s="27"/>
      <c r="J60" s="63"/>
      <c r="K60" s="71"/>
      <c r="L60" s="18"/>
      <c r="M60" s="66"/>
      <c r="N60" s="46"/>
      <c r="O60" s="47"/>
      <c r="P60" s="40"/>
      <c r="Q60" s="47"/>
      <c r="R60" s="40"/>
      <c r="S60" s="41"/>
      <c r="T60" s="31">
        <f>(P61-P58)+(R58-R61)</f>
        <v>0</v>
      </c>
      <c r="U60" s="78"/>
      <c r="V60" s="81"/>
      <c r="W60" s="81"/>
      <c r="X60" s="81"/>
      <c r="Y60" s="84"/>
      <c r="Z60" s="87"/>
      <c r="AA60" s="49"/>
      <c r="AB60" s="49"/>
      <c r="AC60" s="98"/>
      <c r="AD60" s="104"/>
      <c r="AE60" s="102"/>
    </row>
    <row r="61" spans="1:31" ht="17.100000000000001" customHeight="1" x14ac:dyDescent="0.25">
      <c r="A61" s="51"/>
      <c r="B61" s="54"/>
      <c r="C61" s="68"/>
      <c r="D61" s="69"/>
      <c r="E61" s="70"/>
      <c r="F61" s="68"/>
      <c r="G61" s="70"/>
      <c r="H61" s="59"/>
      <c r="I61" s="23"/>
      <c r="J61" s="88"/>
      <c r="K61" s="65"/>
      <c r="L61" s="18"/>
      <c r="M61" s="54"/>
      <c r="N61" s="90">
        <f>(P58-N58)+(P61-P58)+(R58-R61)</f>
        <v>0</v>
      </c>
      <c r="O61" s="91"/>
      <c r="P61" s="90"/>
      <c r="Q61" s="91"/>
      <c r="R61" s="90"/>
      <c r="S61" s="94"/>
      <c r="T61" s="32"/>
      <c r="U61" s="78"/>
      <c r="V61" s="81"/>
      <c r="W61" s="81"/>
      <c r="X61" s="81"/>
      <c r="Y61" s="84"/>
      <c r="Z61" s="34"/>
      <c r="AA61" s="28"/>
      <c r="AB61" s="28"/>
      <c r="AC61" s="97"/>
      <c r="AD61" s="100"/>
      <c r="AE61" s="102"/>
    </row>
    <row r="62" spans="1:31" ht="17.100000000000001" customHeight="1" x14ac:dyDescent="0.25">
      <c r="A62" s="51"/>
      <c r="B62" s="66"/>
      <c r="C62" s="68"/>
      <c r="D62" s="69"/>
      <c r="E62" s="70"/>
      <c r="F62" s="68"/>
      <c r="G62" s="70"/>
      <c r="H62" s="59"/>
      <c r="I62" s="24"/>
      <c r="J62" s="62"/>
      <c r="K62" s="71" t="s">
        <v>51</v>
      </c>
      <c r="L62" s="16" t="s">
        <v>51</v>
      </c>
      <c r="M62" s="66" t="s">
        <v>51</v>
      </c>
      <c r="N62" s="38"/>
      <c r="O62" s="45"/>
      <c r="P62" s="38"/>
      <c r="Q62" s="45"/>
      <c r="R62" s="38"/>
      <c r="S62" s="39"/>
      <c r="T62" s="31">
        <f t="shared" ref="T62" si="17">R61-P61</f>
        <v>0</v>
      </c>
      <c r="U62" s="78"/>
      <c r="V62" s="81"/>
      <c r="W62" s="81"/>
      <c r="X62" s="81"/>
      <c r="Y62" s="84"/>
      <c r="Z62" s="34"/>
      <c r="AA62" s="29"/>
      <c r="AB62" s="29"/>
      <c r="AC62" s="97"/>
      <c r="AD62" s="104"/>
      <c r="AE62" s="102"/>
    </row>
    <row r="63" spans="1:31" ht="17.100000000000001" customHeight="1" thickBot="1" x14ac:dyDescent="0.3">
      <c r="A63" s="52"/>
      <c r="B63" s="67"/>
      <c r="C63" s="73"/>
      <c r="D63" s="74"/>
      <c r="E63" s="75"/>
      <c r="F63" s="73"/>
      <c r="G63" s="75"/>
      <c r="H63" s="60"/>
      <c r="I63" s="25"/>
      <c r="J63" s="89"/>
      <c r="K63" s="72"/>
      <c r="L63" s="19" t="s">
        <v>52</v>
      </c>
      <c r="M63" s="67"/>
      <c r="N63" s="92"/>
      <c r="O63" s="93"/>
      <c r="P63" s="92"/>
      <c r="Q63" s="93"/>
      <c r="R63" s="92"/>
      <c r="S63" s="95"/>
      <c r="T63" s="33"/>
      <c r="U63" s="79"/>
      <c r="V63" s="82"/>
      <c r="W63" s="82"/>
      <c r="X63" s="82"/>
      <c r="Y63" s="85"/>
      <c r="Z63" s="35"/>
      <c r="AA63" s="30"/>
      <c r="AB63" s="30"/>
      <c r="AC63" s="105"/>
      <c r="AD63" s="106"/>
      <c r="AE63" s="103"/>
    </row>
    <row r="65" spans="1:31" ht="17.100000000000001" customHeight="1" thickBot="1" x14ac:dyDescent="0.3"/>
    <row r="66" spans="1:31" ht="17.100000000000001" customHeight="1" x14ac:dyDescent="0.25">
      <c r="A66" s="50">
        <v>46023</v>
      </c>
      <c r="B66" s="53"/>
      <c r="C66" s="55"/>
      <c r="D66" s="56"/>
      <c r="E66" s="57"/>
      <c r="F66" s="55"/>
      <c r="G66" s="57"/>
      <c r="H66" s="58"/>
      <c r="I66" s="26"/>
      <c r="J66" s="61"/>
      <c r="K66" s="64"/>
      <c r="L66" s="11"/>
      <c r="M66" s="53"/>
      <c r="N66" s="42"/>
      <c r="O66" s="43"/>
      <c r="P66" s="36"/>
      <c r="Q66" s="43"/>
      <c r="R66" s="36"/>
      <c r="S66" s="37"/>
      <c r="T66" s="76">
        <f t="shared" ref="T66" si="18">R66-P66</f>
        <v>0</v>
      </c>
      <c r="U66" s="77"/>
      <c r="V66" s="80"/>
      <c r="W66" s="80"/>
      <c r="X66" s="80"/>
      <c r="Y66" s="83"/>
      <c r="Z66" s="86"/>
      <c r="AA66" s="48"/>
      <c r="AB66" s="48"/>
      <c r="AC66" s="96"/>
      <c r="AD66" s="99"/>
      <c r="AE66" s="101"/>
    </row>
    <row r="67" spans="1:31" ht="17.100000000000001" customHeight="1" x14ac:dyDescent="0.25">
      <c r="A67" s="51"/>
      <c r="B67" s="54"/>
      <c r="C67" s="68"/>
      <c r="D67" s="69"/>
      <c r="E67" s="70"/>
      <c r="F67" s="68"/>
      <c r="G67" s="70"/>
      <c r="H67" s="59"/>
      <c r="I67" s="24"/>
      <c r="J67" s="62"/>
      <c r="K67" s="65"/>
      <c r="L67" s="17"/>
      <c r="M67" s="54"/>
      <c r="N67" s="44"/>
      <c r="O67" s="45"/>
      <c r="P67" s="38"/>
      <c r="Q67" s="45"/>
      <c r="R67" s="38"/>
      <c r="S67" s="39"/>
      <c r="T67" s="32"/>
      <c r="U67" s="78"/>
      <c r="V67" s="81"/>
      <c r="W67" s="81"/>
      <c r="X67" s="81"/>
      <c r="Y67" s="84"/>
      <c r="Z67" s="34"/>
      <c r="AA67" s="29"/>
      <c r="AB67" s="29"/>
      <c r="AC67" s="97"/>
      <c r="AD67" s="100"/>
      <c r="AE67" s="102"/>
    </row>
    <row r="68" spans="1:31" ht="17.100000000000001" customHeight="1" x14ac:dyDescent="0.25">
      <c r="A68" s="51"/>
      <c r="B68" s="66"/>
      <c r="C68" s="68"/>
      <c r="D68" s="69"/>
      <c r="E68" s="70"/>
      <c r="F68" s="68"/>
      <c r="G68" s="70"/>
      <c r="H68" s="59"/>
      <c r="I68" s="27"/>
      <c r="J68" s="63"/>
      <c r="K68" s="71"/>
      <c r="L68" s="18"/>
      <c r="M68" s="66"/>
      <c r="N68" s="46"/>
      <c r="O68" s="47"/>
      <c r="P68" s="40"/>
      <c r="Q68" s="47"/>
      <c r="R68" s="40"/>
      <c r="S68" s="41"/>
      <c r="T68" s="31">
        <f>(P69-P66)+(R66-R69)</f>
        <v>0</v>
      </c>
      <c r="U68" s="78"/>
      <c r="V68" s="81"/>
      <c r="W68" s="81"/>
      <c r="X68" s="81"/>
      <c r="Y68" s="84"/>
      <c r="Z68" s="87"/>
      <c r="AA68" s="49"/>
      <c r="AB68" s="49"/>
      <c r="AC68" s="98"/>
      <c r="AD68" s="104"/>
      <c r="AE68" s="102"/>
    </row>
    <row r="69" spans="1:31" ht="17.100000000000001" customHeight="1" x14ac:dyDescent="0.25">
      <c r="A69" s="51"/>
      <c r="B69" s="54"/>
      <c r="C69" s="68"/>
      <c r="D69" s="69"/>
      <c r="E69" s="70"/>
      <c r="F69" s="68"/>
      <c r="G69" s="70"/>
      <c r="H69" s="59"/>
      <c r="I69" s="23"/>
      <c r="J69" s="88"/>
      <c r="K69" s="65"/>
      <c r="L69" s="18"/>
      <c r="M69" s="54"/>
      <c r="N69" s="90">
        <f>(P66-N66)+(P69-P66)+(R66-R69)</f>
        <v>0</v>
      </c>
      <c r="O69" s="91"/>
      <c r="P69" s="90"/>
      <c r="Q69" s="91"/>
      <c r="R69" s="90"/>
      <c r="S69" s="94"/>
      <c r="T69" s="32"/>
      <c r="U69" s="78"/>
      <c r="V69" s="81"/>
      <c r="W69" s="81"/>
      <c r="X69" s="81"/>
      <c r="Y69" s="84"/>
      <c r="Z69" s="34"/>
      <c r="AA69" s="28"/>
      <c r="AB69" s="28"/>
      <c r="AC69" s="97"/>
      <c r="AD69" s="100"/>
      <c r="AE69" s="102"/>
    </row>
    <row r="70" spans="1:31" ht="17.100000000000001" customHeight="1" x14ac:dyDescent="0.25">
      <c r="A70" s="51"/>
      <c r="B70" s="66"/>
      <c r="C70" s="68"/>
      <c r="D70" s="69"/>
      <c r="E70" s="70"/>
      <c r="F70" s="68"/>
      <c r="G70" s="70"/>
      <c r="H70" s="59"/>
      <c r="I70" s="24"/>
      <c r="J70" s="62"/>
      <c r="K70" s="71" t="s">
        <v>51</v>
      </c>
      <c r="L70" s="16" t="s">
        <v>51</v>
      </c>
      <c r="M70" s="66" t="s">
        <v>51</v>
      </c>
      <c r="N70" s="38"/>
      <c r="O70" s="45"/>
      <c r="P70" s="38"/>
      <c r="Q70" s="45"/>
      <c r="R70" s="38"/>
      <c r="S70" s="39"/>
      <c r="T70" s="31">
        <f t="shared" ref="T70" si="19">R69-P69</f>
        <v>0</v>
      </c>
      <c r="U70" s="78"/>
      <c r="V70" s="81"/>
      <c r="W70" s="81"/>
      <c r="X70" s="81"/>
      <c r="Y70" s="84"/>
      <c r="Z70" s="34"/>
      <c r="AA70" s="29"/>
      <c r="AB70" s="29"/>
      <c r="AC70" s="97"/>
      <c r="AD70" s="104"/>
      <c r="AE70" s="102"/>
    </row>
    <row r="71" spans="1:31" ht="17.100000000000001" customHeight="1" thickBot="1" x14ac:dyDescent="0.3">
      <c r="A71" s="52"/>
      <c r="B71" s="67"/>
      <c r="C71" s="73"/>
      <c r="D71" s="74"/>
      <c r="E71" s="75"/>
      <c r="F71" s="73"/>
      <c r="G71" s="75"/>
      <c r="H71" s="60"/>
      <c r="I71" s="25"/>
      <c r="J71" s="89"/>
      <c r="K71" s="72"/>
      <c r="L71" s="19" t="s">
        <v>52</v>
      </c>
      <c r="M71" s="67"/>
      <c r="N71" s="92"/>
      <c r="O71" s="93"/>
      <c r="P71" s="92"/>
      <c r="Q71" s="93"/>
      <c r="R71" s="92"/>
      <c r="S71" s="95"/>
      <c r="T71" s="33"/>
      <c r="U71" s="79"/>
      <c r="V71" s="82"/>
      <c r="W71" s="82"/>
      <c r="X71" s="82"/>
      <c r="Y71" s="85"/>
      <c r="Z71" s="35"/>
      <c r="AA71" s="30"/>
      <c r="AB71" s="30"/>
      <c r="AC71" s="105"/>
      <c r="AD71" s="106"/>
      <c r="AE71" s="103"/>
    </row>
    <row r="72" spans="1:31" ht="17.100000000000001" customHeight="1" x14ac:dyDescent="0.25">
      <c r="A72" s="50">
        <v>46023</v>
      </c>
      <c r="B72" s="53"/>
      <c r="C72" s="55"/>
      <c r="D72" s="56"/>
      <c r="E72" s="57"/>
      <c r="F72" s="55"/>
      <c r="G72" s="57"/>
      <c r="H72" s="58"/>
      <c r="I72" s="26"/>
      <c r="J72" s="61"/>
      <c r="K72" s="64"/>
      <c r="L72" s="11"/>
      <c r="M72" s="53"/>
      <c r="N72" s="42"/>
      <c r="O72" s="43"/>
      <c r="P72" s="36"/>
      <c r="Q72" s="43"/>
      <c r="R72" s="36"/>
      <c r="S72" s="37"/>
      <c r="T72" s="76">
        <f t="shared" ref="T72" si="20">R72-P72</f>
        <v>0</v>
      </c>
      <c r="U72" s="77"/>
      <c r="V72" s="80"/>
      <c r="W72" s="80"/>
      <c r="X72" s="80"/>
      <c r="Y72" s="83"/>
      <c r="Z72" s="86"/>
      <c r="AA72" s="48"/>
      <c r="AB72" s="48"/>
      <c r="AC72" s="96"/>
      <c r="AD72" s="99"/>
      <c r="AE72" s="101"/>
    </row>
    <row r="73" spans="1:31" ht="17.100000000000001" customHeight="1" x14ac:dyDescent="0.25">
      <c r="A73" s="51"/>
      <c r="B73" s="54"/>
      <c r="C73" s="68"/>
      <c r="D73" s="69"/>
      <c r="E73" s="70"/>
      <c r="F73" s="68"/>
      <c r="G73" s="70"/>
      <c r="H73" s="59"/>
      <c r="I73" s="24"/>
      <c r="J73" s="62"/>
      <c r="K73" s="65"/>
      <c r="L73" s="17"/>
      <c r="M73" s="54"/>
      <c r="N73" s="44"/>
      <c r="O73" s="45"/>
      <c r="P73" s="38"/>
      <c r="Q73" s="45"/>
      <c r="R73" s="38"/>
      <c r="S73" s="39"/>
      <c r="T73" s="32"/>
      <c r="U73" s="78"/>
      <c r="V73" s="81"/>
      <c r="W73" s="81"/>
      <c r="X73" s="81"/>
      <c r="Y73" s="84"/>
      <c r="Z73" s="34"/>
      <c r="AA73" s="29"/>
      <c r="AB73" s="29"/>
      <c r="AC73" s="97"/>
      <c r="AD73" s="100"/>
      <c r="AE73" s="102"/>
    </row>
    <row r="74" spans="1:31" ht="17.100000000000001" customHeight="1" x14ac:dyDescent="0.25">
      <c r="A74" s="51"/>
      <c r="B74" s="66"/>
      <c r="C74" s="68"/>
      <c r="D74" s="69"/>
      <c r="E74" s="70"/>
      <c r="F74" s="68"/>
      <c r="G74" s="70"/>
      <c r="H74" s="59"/>
      <c r="I74" s="27"/>
      <c r="J74" s="63"/>
      <c r="K74" s="71"/>
      <c r="L74" s="18"/>
      <c r="M74" s="66"/>
      <c r="N74" s="46"/>
      <c r="O74" s="47"/>
      <c r="P74" s="40"/>
      <c r="Q74" s="47"/>
      <c r="R74" s="40"/>
      <c r="S74" s="41"/>
      <c r="T74" s="31">
        <f>(P75-P72)+(R72-R75)</f>
        <v>0</v>
      </c>
      <c r="U74" s="78"/>
      <c r="V74" s="81"/>
      <c r="W74" s="81"/>
      <c r="X74" s="81"/>
      <c r="Y74" s="84"/>
      <c r="Z74" s="87"/>
      <c r="AA74" s="49"/>
      <c r="AB74" s="49"/>
      <c r="AC74" s="98"/>
      <c r="AD74" s="104"/>
      <c r="AE74" s="102"/>
    </row>
    <row r="75" spans="1:31" ht="17.100000000000001" customHeight="1" x14ac:dyDescent="0.25">
      <c r="A75" s="51"/>
      <c r="B75" s="54"/>
      <c r="C75" s="68"/>
      <c r="D75" s="69"/>
      <c r="E75" s="70"/>
      <c r="F75" s="68"/>
      <c r="G75" s="70"/>
      <c r="H75" s="59"/>
      <c r="I75" s="23"/>
      <c r="J75" s="88"/>
      <c r="K75" s="65"/>
      <c r="L75" s="18"/>
      <c r="M75" s="54"/>
      <c r="N75" s="90">
        <f>(P72-N72)+(P75-P72)+(R72-R75)</f>
        <v>0</v>
      </c>
      <c r="O75" s="91"/>
      <c r="P75" s="90"/>
      <c r="Q75" s="91"/>
      <c r="R75" s="90"/>
      <c r="S75" s="94"/>
      <c r="T75" s="32"/>
      <c r="U75" s="78"/>
      <c r="V75" s="81"/>
      <c r="W75" s="81"/>
      <c r="X75" s="81"/>
      <c r="Y75" s="84"/>
      <c r="Z75" s="34"/>
      <c r="AA75" s="28"/>
      <c r="AB75" s="28"/>
      <c r="AC75" s="97"/>
      <c r="AD75" s="100"/>
      <c r="AE75" s="102"/>
    </row>
    <row r="76" spans="1:31" ht="17.100000000000001" customHeight="1" x14ac:dyDescent="0.25">
      <c r="A76" s="51"/>
      <c r="B76" s="66"/>
      <c r="C76" s="68"/>
      <c r="D76" s="69"/>
      <c r="E76" s="70"/>
      <c r="F76" s="68"/>
      <c r="G76" s="70"/>
      <c r="H76" s="59"/>
      <c r="I76" s="24"/>
      <c r="J76" s="62"/>
      <c r="K76" s="71" t="s">
        <v>51</v>
      </c>
      <c r="L76" s="16" t="s">
        <v>51</v>
      </c>
      <c r="M76" s="66" t="s">
        <v>51</v>
      </c>
      <c r="N76" s="38"/>
      <c r="O76" s="45"/>
      <c r="P76" s="38"/>
      <c r="Q76" s="45"/>
      <c r="R76" s="38"/>
      <c r="S76" s="39"/>
      <c r="T76" s="31">
        <f t="shared" ref="T76" si="21">R75-P75</f>
        <v>0</v>
      </c>
      <c r="U76" s="78"/>
      <c r="V76" s="81"/>
      <c r="W76" s="81"/>
      <c r="X76" s="81"/>
      <c r="Y76" s="84"/>
      <c r="Z76" s="34"/>
      <c r="AA76" s="29"/>
      <c r="AB76" s="29"/>
      <c r="AC76" s="97"/>
      <c r="AD76" s="104"/>
      <c r="AE76" s="102"/>
    </row>
    <row r="77" spans="1:31" ht="17.100000000000001" customHeight="1" thickBot="1" x14ac:dyDescent="0.3">
      <c r="A77" s="52"/>
      <c r="B77" s="67"/>
      <c r="C77" s="73"/>
      <c r="D77" s="74"/>
      <c r="E77" s="75"/>
      <c r="F77" s="73"/>
      <c r="G77" s="75"/>
      <c r="H77" s="60"/>
      <c r="I77" s="25"/>
      <c r="J77" s="89"/>
      <c r="K77" s="72"/>
      <c r="L77" s="19" t="s">
        <v>52</v>
      </c>
      <c r="M77" s="67"/>
      <c r="N77" s="92"/>
      <c r="O77" s="93"/>
      <c r="P77" s="92"/>
      <c r="Q77" s="93"/>
      <c r="R77" s="92"/>
      <c r="S77" s="95"/>
      <c r="T77" s="33"/>
      <c r="U77" s="79"/>
      <c r="V77" s="82"/>
      <c r="W77" s="82"/>
      <c r="X77" s="82"/>
      <c r="Y77" s="85"/>
      <c r="Z77" s="35"/>
      <c r="AA77" s="30"/>
      <c r="AB77" s="30"/>
      <c r="AC77" s="105"/>
      <c r="AD77" s="106"/>
      <c r="AE77" s="103"/>
    </row>
    <row r="78" spans="1:31" ht="17.100000000000001" customHeight="1" x14ac:dyDescent="0.25">
      <c r="A78" s="50">
        <v>46023</v>
      </c>
      <c r="B78" s="53"/>
      <c r="C78" s="55"/>
      <c r="D78" s="56"/>
      <c r="E78" s="57"/>
      <c r="F78" s="55"/>
      <c r="G78" s="57"/>
      <c r="H78" s="58"/>
      <c r="I78" s="26"/>
      <c r="J78" s="61"/>
      <c r="K78" s="64"/>
      <c r="L78" s="11"/>
      <c r="M78" s="53"/>
      <c r="N78" s="42"/>
      <c r="O78" s="43"/>
      <c r="P78" s="36"/>
      <c r="Q78" s="43"/>
      <c r="R78" s="36"/>
      <c r="S78" s="37"/>
      <c r="T78" s="76">
        <f t="shared" ref="T78" si="22">R78-P78</f>
        <v>0</v>
      </c>
      <c r="U78" s="77"/>
      <c r="V78" s="80"/>
      <c r="W78" s="80"/>
      <c r="X78" s="80"/>
      <c r="Y78" s="83"/>
      <c r="Z78" s="86"/>
      <c r="AA78" s="48"/>
      <c r="AB78" s="48"/>
      <c r="AC78" s="96"/>
      <c r="AD78" s="99"/>
      <c r="AE78" s="101"/>
    </row>
    <row r="79" spans="1:31" ht="17.100000000000001" customHeight="1" x14ac:dyDescent="0.25">
      <c r="A79" s="51"/>
      <c r="B79" s="54"/>
      <c r="C79" s="68"/>
      <c r="D79" s="69"/>
      <c r="E79" s="70"/>
      <c r="F79" s="68"/>
      <c r="G79" s="70"/>
      <c r="H79" s="59"/>
      <c r="I79" s="24"/>
      <c r="J79" s="62"/>
      <c r="K79" s="65"/>
      <c r="L79" s="17"/>
      <c r="M79" s="54"/>
      <c r="N79" s="44"/>
      <c r="O79" s="45"/>
      <c r="P79" s="38"/>
      <c r="Q79" s="45"/>
      <c r="R79" s="38"/>
      <c r="S79" s="39"/>
      <c r="T79" s="32"/>
      <c r="U79" s="78"/>
      <c r="V79" s="81"/>
      <c r="W79" s="81"/>
      <c r="X79" s="81"/>
      <c r="Y79" s="84"/>
      <c r="Z79" s="34"/>
      <c r="AA79" s="29"/>
      <c r="AB79" s="29"/>
      <c r="AC79" s="97"/>
      <c r="AD79" s="100"/>
      <c r="AE79" s="102"/>
    </row>
    <row r="80" spans="1:31" ht="17.100000000000001" customHeight="1" x14ac:dyDescent="0.25">
      <c r="A80" s="51"/>
      <c r="B80" s="66"/>
      <c r="C80" s="68"/>
      <c r="D80" s="69"/>
      <c r="E80" s="70"/>
      <c r="F80" s="68"/>
      <c r="G80" s="70"/>
      <c r="H80" s="59"/>
      <c r="I80" s="27"/>
      <c r="J80" s="63"/>
      <c r="K80" s="71"/>
      <c r="L80" s="18"/>
      <c r="M80" s="66"/>
      <c r="N80" s="46"/>
      <c r="O80" s="47"/>
      <c r="P80" s="40"/>
      <c r="Q80" s="47"/>
      <c r="R80" s="40"/>
      <c r="S80" s="41"/>
      <c r="T80" s="31">
        <f>(P81-P78)+(R78-R81)</f>
        <v>0</v>
      </c>
      <c r="U80" s="78"/>
      <c r="V80" s="81"/>
      <c r="W80" s="81"/>
      <c r="X80" s="81"/>
      <c r="Y80" s="84"/>
      <c r="Z80" s="87"/>
      <c r="AA80" s="49"/>
      <c r="AB80" s="49"/>
      <c r="AC80" s="98"/>
      <c r="AD80" s="104"/>
      <c r="AE80" s="102"/>
    </row>
    <row r="81" spans="1:31" ht="17.100000000000001" customHeight="1" x14ac:dyDescent="0.25">
      <c r="A81" s="51"/>
      <c r="B81" s="54"/>
      <c r="C81" s="68"/>
      <c r="D81" s="69"/>
      <c r="E81" s="70"/>
      <c r="F81" s="68"/>
      <c r="G81" s="70"/>
      <c r="H81" s="59"/>
      <c r="I81" s="23"/>
      <c r="J81" s="88"/>
      <c r="K81" s="65"/>
      <c r="L81" s="18"/>
      <c r="M81" s="54"/>
      <c r="N81" s="90">
        <f>(P78-N78)+(P81-P78)+(R78-R81)</f>
        <v>0</v>
      </c>
      <c r="O81" s="91"/>
      <c r="P81" s="90"/>
      <c r="Q81" s="91"/>
      <c r="R81" s="90"/>
      <c r="S81" s="94"/>
      <c r="T81" s="32"/>
      <c r="U81" s="78"/>
      <c r="V81" s="81"/>
      <c r="W81" s="81"/>
      <c r="X81" s="81"/>
      <c r="Y81" s="84"/>
      <c r="Z81" s="34"/>
      <c r="AA81" s="28"/>
      <c r="AB81" s="28"/>
      <c r="AC81" s="97"/>
      <c r="AD81" s="100"/>
      <c r="AE81" s="102"/>
    </row>
    <row r="82" spans="1:31" ht="17.100000000000001" customHeight="1" x14ac:dyDescent="0.25">
      <c r="A82" s="51"/>
      <c r="B82" s="66"/>
      <c r="C82" s="68"/>
      <c r="D82" s="69"/>
      <c r="E82" s="70"/>
      <c r="F82" s="68"/>
      <c r="G82" s="70"/>
      <c r="H82" s="59"/>
      <c r="I82" s="24"/>
      <c r="J82" s="62"/>
      <c r="K82" s="71" t="s">
        <v>51</v>
      </c>
      <c r="L82" s="16" t="s">
        <v>51</v>
      </c>
      <c r="M82" s="66" t="s">
        <v>51</v>
      </c>
      <c r="N82" s="38"/>
      <c r="O82" s="45"/>
      <c r="P82" s="38"/>
      <c r="Q82" s="45"/>
      <c r="R82" s="38"/>
      <c r="S82" s="39"/>
      <c r="T82" s="31">
        <f t="shared" ref="T82" si="23">R81-P81</f>
        <v>0</v>
      </c>
      <c r="U82" s="78"/>
      <c r="V82" s="81"/>
      <c r="W82" s="81"/>
      <c r="X82" s="81"/>
      <c r="Y82" s="84"/>
      <c r="Z82" s="34"/>
      <c r="AA82" s="29"/>
      <c r="AB82" s="29"/>
      <c r="AC82" s="97"/>
      <c r="AD82" s="104"/>
      <c r="AE82" s="102"/>
    </row>
    <row r="83" spans="1:31" ht="17.100000000000001" customHeight="1" thickBot="1" x14ac:dyDescent="0.3">
      <c r="A83" s="52"/>
      <c r="B83" s="67"/>
      <c r="C83" s="73"/>
      <c r="D83" s="74"/>
      <c r="E83" s="75"/>
      <c r="F83" s="73"/>
      <c r="G83" s="75"/>
      <c r="H83" s="60"/>
      <c r="I83" s="25"/>
      <c r="J83" s="89"/>
      <c r="K83" s="72"/>
      <c r="L83" s="19" t="s">
        <v>52</v>
      </c>
      <c r="M83" s="67"/>
      <c r="N83" s="92"/>
      <c r="O83" s="93"/>
      <c r="P83" s="92"/>
      <c r="Q83" s="93"/>
      <c r="R83" s="92"/>
      <c r="S83" s="95"/>
      <c r="T83" s="33"/>
      <c r="U83" s="79"/>
      <c r="V83" s="82"/>
      <c r="W83" s="82"/>
      <c r="X83" s="82"/>
      <c r="Y83" s="85"/>
      <c r="Z83" s="35"/>
      <c r="AA83" s="30"/>
      <c r="AB83" s="30"/>
      <c r="AC83" s="105"/>
      <c r="AD83" s="106"/>
      <c r="AE83" s="103"/>
    </row>
    <row r="84" spans="1:31" ht="17.100000000000001" customHeight="1" x14ac:dyDescent="0.25">
      <c r="A84" s="50">
        <v>46023</v>
      </c>
      <c r="B84" s="53"/>
      <c r="C84" s="55"/>
      <c r="D84" s="56"/>
      <c r="E84" s="57"/>
      <c r="F84" s="55"/>
      <c r="G84" s="57"/>
      <c r="H84" s="58"/>
      <c r="I84" s="26"/>
      <c r="J84" s="61"/>
      <c r="K84" s="64"/>
      <c r="L84" s="11"/>
      <c r="M84" s="53"/>
      <c r="N84" s="42"/>
      <c r="O84" s="43"/>
      <c r="P84" s="36"/>
      <c r="Q84" s="43"/>
      <c r="R84" s="36"/>
      <c r="S84" s="37"/>
      <c r="T84" s="76">
        <f t="shared" ref="T84" si="24">R84-P84</f>
        <v>0</v>
      </c>
      <c r="U84" s="77"/>
      <c r="V84" s="80"/>
      <c r="W84" s="80"/>
      <c r="X84" s="80"/>
      <c r="Y84" s="83"/>
      <c r="Z84" s="86"/>
      <c r="AA84" s="48"/>
      <c r="AB84" s="48"/>
      <c r="AC84" s="96"/>
      <c r="AD84" s="99"/>
      <c r="AE84" s="101"/>
    </row>
    <row r="85" spans="1:31" ht="17.100000000000001" customHeight="1" x14ac:dyDescent="0.25">
      <c r="A85" s="51"/>
      <c r="B85" s="54"/>
      <c r="C85" s="68"/>
      <c r="D85" s="69"/>
      <c r="E85" s="70"/>
      <c r="F85" s="68"/>
      <c r="G85" s="70"/>
      <c r="H85" s="59"/>
      <c r="I85" s="24"/>
      <c r="J85" s="62"/>
      <c r="K85" s="65"/>
      <c r="L85" s="17"/>
      <c r="M85" s="54"/>
      <c r="N85" s="44"/>
      <c r="O85" s="45"/>
      <c r="P85" s="38"/>
      <c r="Q85" s="45"/>
      <c r="R85" s="38"/>
      <c r="S85" s="39"/>
      <c r="T85" s="32"/>
      <c r="U85" s="78"/>
      <c r="V85" s="81"/>
      <c r="W85" s="81"/>
      <c r="X85" s="81"/>
      <c r="Y85" s="84"/>
      <c r="Z85" s="34"/>
      <c r="AA85" s="29"/>
      <c r="AB85" s="29"/>
      <c r="AC85" s="97"/>
      <c r="AD85" s="100"/>
      <c r="AE85" s="102"/>
    </row>
    <row r="86" spans="1:31" ht="17.100000000000001" customHeight="1" x14ac:dyDescent="0.25">
      <c r="A86" s="51"/>
      <c r="B86" s="66"/>
      <c r="C86" s="68"/>
      <c r="D86" s="69"/>
      <c r="E86" s="70"/>
      <c r="F86" s="68"/>
      <c r="G86" s="70"/>
      <c r="H86" s="59"/>
      <c r="I86" s="27"/>
      <c r="J86" s="63"/>
      <c r="K86" s="71"/>
      <c r="L86" s="18"/>
      <c r="M86" s="66"/>
      <c r="N86" s="46"/>
      <c r="O86" s="47"/>
      <c r="P86" s="40"/>
      <c r="Q86" s="47"/>
      <c r="R86" s="40"/>
      <c r="S86" s="41"/>
      <c r="T86" s="31">
        <f>(P87-P84)+(R84-R87)</f>
        <v>0</v>
      </c>
      <c r="U86" s="78"/>
      <c r="V86" s="81"/>
      <c r="W86" s="81"/>
      <c r="X86" s="81"/>
      <c r="Y86" s="84"/>
      <c r="Z86" s="87"/>
      <c r="AA86" s="49"/>
      <c r="AB86" s="49"/>
      <c r="AC86" s="98"/>
      <c r="AD86" s="104"/>
      <c r="AE86" s="102"/>
    </row>
    <row r="87" spans="1:31" ht="17.100000000000001" customHeight="1" x14ac:dyDescent="0.25">
      <c r="A87" s="51"/>
      <c r="B87" s="54"/>
      <c r="C87" s="68"/>
      <c r="D87" s="69"/>
      <c r="E87" s="70"/>
      <c r="F87" s="68"/>
      <c r="G87" s="70"/>
      <c r="H87" s="59"/>
      <c r="I87" s="23"/>
      <c r="J87" s="88"/>
      <c r="K87" s="65"/>
      <c r="L87" s="18"/>
      <c r="M87" s="54"/>
      <c r="N87" s="90">
        <f>(P84-N84)+(P87-P84)+(R84-R87)</f>
        <v>0</v>
      </c>
      <c r="O87" s="91"/>
      <c r="P87" s="90"/>
      <c r="Q87" s="91"/>
      <c r="R87" s="90"/>
      <c r="S87" s="94"/>
      <c r="T87" s="32"/>
      <c r="U87" s="78"/>
      <c r="V87" s="81"/>
      <c r="W87" s="81"/>
      <c r="X87" s="81"/>
      <c r="Y87" s="84"/>
      <c r="Z87" s="34"/>
      <c r="AA87" s="28"/>
      <c r="AB87" s="28"/>
      <c r="AC87" s="97"/>
      <c r="AD87" s="100"/>
      <c r="AE87" s="102"/>
    </row>
    <row r="88" spans="1:31" ht="17.100000000000001" customHeight="1" x14ac:dyDescent="0.25">
      <c r="A88" s="51"/>
      <c r="B88" s="66"/>
      <c r="C88" s="68"/>
      <c r="D88" s="69"/>
      <c r="E88" s="70"/>
      <c r="F88" s="68"/>
      <c r="G88" s="70"/>
      <c r="H88" s="59"/>
      <c r="I88" s="24"/>
      <c r="J88" s="62"/>
      <c r="K88" s="71" t="s">
        <v>51</v>
      </c>
      <c r="L88" s="16" t="s">
        <v>51</v>
      </c>
      <c r="M88" s="66" t="s">
        <v>51</v>
      </c>
      <c r="N88" s="38"/>
      <c r="O88" s="45"/>
      <c r="P88" s="38"/>
      <c r="Q88" s="45"/>
      <c r="R88" s="38"/>
      <c r="S88" s="39"/>
      <c r="T88" s="31">
        <f t="shared" ref="T88" si="25">R87-P87</f>
        <v>0</v>
      </c>
      <c r="U88" s="78"/>
      <c r="V88" s="81"/>
      <c r="W88" s="81"/>
      <c r="X88" s="81"/>
      <c r="Y88" s="84"/>
      <c r="Z88" s="34"/>
      <c r="AA88" s="29"/>
      <c r="AB88" s="29"/>
      <c r="AC88" s="97"/>
      <c r="AD88" s="104"/>
      <c r="AE88" s="102"/>
    </row>
    <row r="89" spans="1:31" ht="17.100000000000001" customHeight="1" thickBot="1" x14ac:dyDescent="0.3">
      <c r="A89" s="52"/>
      <c r="B89" s="67"/>
      <c r="C89" s="73"/>
      <c r="D89" s="74"/>
      <c r="E89" s="75"/>
      <c r="F89" s="73"/>
      <c r="G89" s="75"/>
      <c r="H89" s="60"/>
      <c r="I89" s="25"/>
      <c r="J89" s="89"/>
      <c r="K89" s="72"/>
      <c r="L89" s="19" t="s">
        <v>52</v>
      </c>
      <c r="M89" s="67"/>
      <c r="N89" s="92"/>
      <c r="O89" s="93"/>
      <c r="P89" s="92"/>
      <c r="Q89" s="93"/>
      <c r="R89" s="92"/>
      <c r="S89" s="95"/>
      <c r="T89" s="33"/>
      <c r="U89" s="79"/>
      <c r="V89" s="82"/>
      <c r="W89" s="82"/>
      <c r="X89" s="82"/>
      <c r="Y89" s="85"/>
      <c r="Z89" s="35"/>
      <c r="AA89" s="30"/>
      <c r="AB89" s="30"/>
      <c r="AC89" s="105"/>
      <c r="AD89" s="106"/>
      <c r="AE89" s="103"/>
    </row>
    <row r="90" spans="1:31" ht="17.100000000000001" customHeight="1" x14ac:dyDescent="0.25">
      <c r="A90" s="50">
        <v>46023</v>
      </c>
      <c r="B90" s="53"/>
      <c r="C90" s="55"/>
      <c r="D90" s="56"/>
      <c r="E90" s="57"/>
      <c r="F90" s="55"/>
      <c r="G90" s="57"/>
      <c r="H90" s="58"/>
      <c r="I90" s="26"/>
      <c r="J90" s="61"/>
      <c r="K90" s="64"/>
      <c r="L90" s="11"/>
      <c r="M90" s="53"/>
      <c r="N90" s="42"/>
      <c r="O90" s="43"/>
      <c r="P90" s="36"/>
      <c r="Q90" s="43"/>
      <c r="R90" s="36"/>
      <c r="S90" s="37"/>
      <c r="T90" s="76">
        <f t="shared" ref="T90" si="26">R90-P90</f>
        <v>0</v>
      </c>
      <c r="U90" s="77"/>
      <c r="V90" s="80"/>
      <c r="W90" s="80"/>
      <c r="X90" s="80"/>
      <c r="Y90" s="83"/>
      <c r="Z90" s="86"/>
      <c r="AA90" s="48"/>
      <c r="AB90" s="48"/>
      <c r="AC90" s="96"/>
      <c r="AD90" s="99"/>
      <c r="AE90" s="101"/>
    </row>
    <row r="91" spans="1:31" ht="17.100000000000001" customHeight="1" x14ac:dyDescent="0.25">
      <c r="A91" s="51"/>
      <c r="B91" s="54"/>
      <c r="C91" s="68"/>
      <c r="D91" s="69"/>
      <c r="E91" s="70"/>
      <c r="F91" s="68"/>
      <c r="G91" s="70"/>
      <c r="H91" s="59"/>
      <c r="I91" s="24"/>
      <c r="J91" s="62"/>
      <c r="K91" s="65"/>
      <c r="L91" s="17"/>
      <c r="M91" s="54"/>
      <c r="N91" s="44"/>
      <c r="O91" s="45"/>
      <c r="P91" s="38"/>
      <c r="Q91" s="45"/>
      <c r="R91" s="38"/>
      <c r="S91" s="39"/>
      <c r="T91" s="32"/>
      <c r="U91" s="78"/>
      <c r="V91" s="81"/>
      <c r="W91" s="81"/>
      <c r="X91" s="81"/>
      <c r="Y91" s="84"/>
      <c r="Z91" s="34"/>
      <c r="AA91" s="29"/>
      <c r="AB91" s="29"/>
      <c r="AC91" s="97"/>
      <c r="AD91" s="100"/>
      <c r="AE91" s="102"/>
    </row>
    <row r="92" spans="1:31" ht="17.100000000000001" customHeight="1" x14ac:dyDescent="0.25">
      <c r="A92" s="51"/>
      <c r="B92" s="66"/>
      <c r="C92" s="68"/>
      <c r="D92" s="69"/>
      <c r="E92" s="70"/>
      <c r="F92" s="68"/>
      <c r="G92" s="70"/>
      <c r="H92" s="59"/>
      <c r="I92" s="27"/>
      <c r="J92" s="63"/>
      <c r="K92" s="71"/>
      <c r="L92" s="18"/>
      <c r="M92" s="66"/>
      <c r="N92" s="46"/>
      <c r="O92" s="47"/>
      <c r="P92" s="40"/>
      <c r="Q92" s="47"/>
      <c r="R92" s="40"/>
      <c r="S92" s="41"/>
      <c r="T92" s="31">
        <f>(P93-P90)+(R90-R93)</f>
        <v>0</v>
      </c>
      <c r="U92" s="78"/>
      <c r="V92" s="81"/>
      <c r="W92" s="81"/>
      <c r="X92" s="81"/>
      <c r="Y92" s="84"/>
      <c r="Z92" s="87"/>
      <c r="AA92" s="49"/>
      <c r="AB92" s="49"/>
      <c r="AC92" s="98"/>
      <c r="AD92" s="104"/>
      <c r="AE92" s="102"/>
    </row>
    <row r="93" spans="1:31" ht="17.100000000000001" customHeight="1" x14ac:dyDescent="0.25">
      <c r="A93" s="51"/>
      <c r="B93" s="54"/>
      <c r="C93" s="68"/>
      <c r="D93" s="69"/>
      <c r="E93" s="70"/>
      <c r="F93" s="68"/>
      <c r="G93" s="70"/>
      <c r="H93" s="59"/>
      <c r="I93" s="23"/>
      <c r="J93" s="88"/>
      <c r="K93" s="65"/>
      <c r="L93" s="18"/>
      <c r="M93" s="54"/>
      <c r="N93" s="90">
        <f>(P90-N90)+(P93-P90)+(R90-R93)</f>
        <v>0</v>
      </c>
      <c r="O93" s="91"/>
      <c r="P93" s="90"/>
      <c r="Q93" s="91"/>
      <c r="R93" s="90"/>
      <c r="S93" s="94"/>
      <c r="T93" s="32"/>
      <c r="U93" s="78"/>
      <c r="V93" s="81"/>
      <c r="W93" s="81"/>
      <c r="X93" s="81"/>
      <c r="Y93" s="84"/>
      <c r="Z93" s="34"/>
      <c r="AA93" s="28"/>
      <c r="AB93" s="28"/>
      <c r="AC93" s="97"/>
      <c r="AD93" s="100"/>
      <c r="AE93" s="102"/>
    </row>
    <row r="94" spans="1:31" ht="17.100000000000001" customHeight="1" x14ac:dyDescent="0.25">
      <c r="A94" s="51"/>
      <c r="B94" s="66"/>
      <c r="C94" s="68"/>
      <c r="D94" s="69"/>
      <c r="E94" s="70"/>
      <c r="F94" s="68"/>
      <c r="G94" s="70"/>
      <c r="H94" s="59"/>
      <c r="I94" s="24"/>
      <c r="J94" s="62"/>
      <c r="K94" s="71" t="s">
        <v>51</v>
      </c>
      <c r="L94" s="16" t="s">
        <v>51</v>
      </c>
      <c r="M94" s="66" t="s">
        <v>51</v>
      </c>
      <c r="N94" s="38"/>
      <c r="O94" s="45"/>
      <c r="P94" s="38"/>
      <c r="Q94" s="45"/>
      <c r="R94" s="38"/>
      <c r="S94" s="39"/>
      <c r="T94" s="31">
        <f t="shared" ref="T94" si="27">R93-P93</f>
        <v>0</v>
      </c>
      <c r="U94" s="78"/>
      <c r="V94" s="81"/>
      <c r="W94" s="81"/>
      <c r="X94" s="81"/>
      <c r="Y94" s="84"/>
      <c r="Z94" s="34"/>
      <c r="AA94" s="29"/>
      <c r="AB94" s="29"/>
      <c r="AC94" s="97"/>
      <c r="AD94" s="104"/>
      <c r="AE94" s="102"/>
    </row>
    <row r="95" spans="1:31" ht="17.100000000000001" customHeight="1" thickBot="1" x14ac:dyDescent="0.3">
      <c r="A95" s="52"/>
      <c r="B95" s="67"/>
      <c r="C95" s="73"/>
      <c r="D95" s="74"/>
      <c r="E95" s="75"/>
      <c r="F95" s="73"/>
      <c r="G95" s="75"/>
      <c r="H95" s="60"/>
      <c r="I95" s="25"/>
      <c r="J95" s="89"/>
      <c r="K95" s="72"/>
      <c r="L95" s="19" t="s">
        <v>52</v>
      </c>
      <c r="M95" s="67"/>
      <c r="N95" s="92"/>
      <c r="O95" s="93"/>
      <c r="P95" s="92"/>
      <c r="Q95" s="93"/>
      <c r="R95" s="92"/>
      <c r="S95" s="95"/>
      <c r="T95" s="33"/>
      <c r="U95" s="79"/>
      <c r="V95" s="82"/>
      <c r="W95" s="82"/>
      <c r="X95" s="82"/>
      <c r="Y95" s="85"/>
      <c r="Z95" s="35"/>
      <c r="AA95" s="30"/>
      <c r="AB95" s="30"/>
      <c r="AC95" s="105"/>
      <c r="AD95" s="106"/>
      <c r="AE95" s="103"/>
    </row>
    <row r="97" spans="1:31" ht="17.100000000000001" customHeight="1" thickBot="1" x14ac:dyDescent="0.3"/>
    <row r="98" spans="1:31" ht="17.100000000000001" customHeight="1" x14ac:dyDescent="0.25">
      <c r="A98" s="50">
        <v>46023</v>
      </c>
      <c r="B98" s="53"/>
      <c r="C98" s="55"/>
      <c r="D98" s="56"/>
      <c r="E98" s="57"/>
      <c r="F98" s="55"/>
      <c r="G98" s="57"/>
      <c r="H98" s="58"/>
      <c r="I98" s="26"/>
      <c r="J98" s="61"/>
      <c r="K98" s="64"/>
      <c r="L98" s="11"/>
      <c r="M98" s="53"/>
      <c r="N98" s="42"/>
      <c r="O98" s="43"/>
      <c r="P98" s="36"/>
      <c r="Q98" s="43"/>
      <c r="R98" s="36"/>
      <c r="S98" s="37"/>
      <c r="T98" s="76">
        <f t="shared" ref="T98" si="28">R98-P98</f>
        <v>0</v>
      </c>
      <c r="U98" s="77"/>
      <c r="V98" s="80"/>
      <c r="W98" s="80"/>
      <c r="X98" s="80"/>
      <c r="Y98" s="83"/>
      <c r="Z98" s="86"/>
      <c r="AA98" s="48"/>
      <c r="AB98" s="48"/>
      <c r="AC98" s="96"/>
      <c r="AD98" s="99"/>
      <c r="AE98" s="101"/>
    </row>
    <row r="99" spans="1:31" ht="17.100000000000001" customHeight="1" x14ac:dyDescent="0.25">
      <c r="A99" s="51"/>
      <c r="B99" s="54"/>
      <c r="C99" s="68"/>
      <c r="D99" s="69"/>
      <c r="E99" s="70"/>
      <c r="F99" s="68"/>
      <c r="G99" s="70"/>
      <c r="H99" s="59"/>
      <c r="I99" s="24"/>
      <c r="J99" s="62"/>
      <c r="K99" s="65"/>
      <c r="L99" s="17"/>
      <c r="M99" s="54"/>
      <c r="N99" s="44"/>
      <c r="O99" s="45"/>
      <c r="P99" s="38"/>
      <c r="Q99" s="45"/>
      <c r="R99" s="38"/>
      <c r="S99" s="39"/>
      <c r="T99" s="32"/>
      <c r="U99" s="78"/>
      <c r="V99" s="81"/>
      <c r="W99" s="81"/>
      <c r="X99" s="81"/>
      <c r="Y99" s="84"/>
      <c r="Z99" s="34"/>
      <c r="AA99" s="29"/>
      <c r="AB99" s="29"/>
      <c r="AC99" s="97"/>
      <c r="AD99" s="100"/>
      <c r="AE99" s="102"/>
    </row>
    <row r="100" spans="1:31" ht="17.100000000000001" customHeight="1" x14ac:dyDescent="0.25">
      <c r="A100" s="51"/>
      <c r="B100" s="66"/>
      <c r="C100" s="68"/>
      <c r="D100" s="69"/>
      <c r="E100" s="70"/>
      <c r="F100" s="68"/>
      <c r="G100" s="70"/>
      <c r="H100" s="59"/>
      <c r="I100" s="27"/>
      <c r="J100" s="63"/>
      <c r="K100" s="71"/>
      <c r="L100" s="18"/>
      <c r="M100" s="66"/>
      <c r="N100" s="46"/>
      <c r="O100" s="47"/>
      <c r="P100" s="40"/>
      <c r="Q100" s="47"/>
      <c r="R100" s="40"/>
      <c r="S100" s="41"/>
      <c r="T100" s="31">
        <f>(P101-P98)+(R98-R101)</f>
        <v>0</v>
      </c>
      <c r="U100" s="78"/>
      <c r="V100" s="81"/>
      <c r="W100" s="81"/>
      <c r="X100" s="81"/>
      <c r="Y100" s="84"/>
      <c r="Z100" s="87"/>
      <c r="AA100" s="49"/>
      <c r="AB100" s="49"/>
      <c r="AC100" s="98"/>
      <c r="AD100" s="104"/>
      <c r="AE100" s="102"/>
    </row>
    <row r="101" spans="1:31" ht="17.100000000000001" customHeight="1" x14ac:dyDescent="0.25">
      <c r="A101" s="51"/>
      <c r="B101" s="54"/>
      <c r="C101" s="68"/>
      <c r="D101" s="69"/>
      <c r="E101" s="70"/>
      <c r="F101" s="68"/>
      <c r="G101" s="70"/>
      <c r="H101" s="59"/>
      <c r="I101" s="23"/>
      <c r="J101" s="88"/>
      <c r="K101" s="65"/>
      <c r="L101" s="18"/>
      <c r="M101" s="54"/>
      <c r="N101" s="90">
        <f>(P98-N98)+(P101-P98)+(R98-R101)</f>
        <v>0</v>
      </c>
      <c r="O101" s="91"/>
      <c r="P101" s="90"/>
      <c r="Q101" s="91"/>
      <c r="R101" s="90"/>
      <c r="S101" s="94"/>
      <c r="T101" s="32"/>
      <c r="U101" s="78"/>
      <c r="V101" s="81"/>
      <c r="W101" s="81"/>
      <c r="X101" s="81"/>
      <c r="Y101" s="84"/>
      <c r="Z101" s="34"/>
      <c r="AA101" s="28"/>
      <c r="AB101" s="28"/>
      <c r="AC101" s="97"/>
      <c r="AD101" s="100"/>
      <c r="AE101" s="102"/>
    </row>
    <row r="102" spans="1:31" ht="17.100000000000001" customHeight="1" x14ac:dyDescent="0.25">
      <c r="A102" s="51"/>
      <c r="B102" s="66"/>
      <c r="C102" s="68"/>
      <c r="D102" s="69"/>
      <c r="E102" s="70"/>
      <c r="F102" s="68"/>
      <c r="G102" s="70"/>
      <c r="H102" s="59"/>
      <c r="I102" s="24"/>
      <c r="J102" s="62"/>
      <c r="K102" s="71" t="s">
        <v>51</v>
      </c>
      <c r="L102" s="16" t="s">
        <v>51</v>
      </c>
      <c r="M102" s="66" t="s">
        <v>51</v>
      </c>
      <c r="N102" s="38"/>
      <c r="O102" s="45"/>
      <c r="P102" s="38"/>
      <c r="Q102" s="45"/>
      <c r="R102" s="38"/>
      <c r="S102" s="39"/>
      <c r="T102" s="31">
        <f t="shared" ref="T102" si="29">R101-P101</f>
        <v>0</v>
      </c>
      <c r="U102" s="78"/>
      <c r="V102" s="81"/>
      <c r="W102" s="81"/>
      <c r="X102" s="81"/>
      <c r="Y102" s="84"/>
      <c r="Z102" s="34"/>
      <c r="AA102" s="29"/>
      <c r="AB102" s="29"/>
      <c r="AC102" s="97"/>
      <c r="AD102" s="104"/>
      <c r="AE102" s="102"/>
    </row>
    <row r="103" spans="1:31" ht="17.100000000000001" customHeight="1" thickBot="1" x14ac:dyDescent="0.3">
      <c r="A103" s="52"/>
      <c r="B103" s="67"/>
      <c r="C103" s="73"/>
      <c r="D103" s="74"/>
      <c r="E103" s="75"/>
      <c r="F103" s="73"/>
      <c r="G103" s="75"/>
      <c r="H103" s="60"/>
      <c r="I103" s="25"/>
      <c r="J103" s="89"/>
      <c r="K103" s="72"/>
      <c r="L103" s="19" t="s">
        <v>52</v>
      </c>
      <c r="M103" s="67"/>
      <c r="N103" s="92"/>
      <c r="O103" s="93"/>
      <c r="P103" s="92"/>
      <c r="Q103" s="93"/>
      <c r="R103" s="92"/>
      <c r="S103" s="95"/>
      <c r="T103" s="33"/>
      <c r="U103" s="79"/>
      <c r="V103" s="82"/>
      <c r="W103" s="82"/>
      <c r="X103" s="82"/>
      <c r="Y103" s="85"/>
      <c r="Z103" s="35"/>
      <c r="AA103" s="30"/>
      <c r="AB103" s="30"/>
      <c r="AC103" s="105"/>
      <c r="AD103" s="106"/>
      <c r="AE103" s="103"/>
    </row>
    <row r="104" spans="1:31" ht="17.100000000000001" customHeight="1" x14ac:dyDescent="0.25">
      <c r="A104" s="50">
        <v>46023</v>
      </c>
      <c r="B104" s="53"/>
      <c r="C104" s="55"/>
      <c r="D104" s="56"/>
      <c r="E104" s="57"/>
      <c r="F104" s="55"/>
      <c r="G104" s="57"/>
      <c r="H104" s="58"/>
      <c r="I104" s="26"/>
      <c r="J104" s="61"/>
      <c r="K104" s="64"/>
      <c r="L104" s="11"/>
      <c r="M104" s="53"/>
      <c r="N104" s="42"/>
      <c r="O104" s="43"/>
      <c r="P104" s="36"/>
      <c r="Q104" s="43"/>
      <c r="R104" s="36"/>
      <c r="S104" s="37"/>
      <c r="T104" s="76">
        <f t="shared" ref="T104" si="30">R104-P104</f>
        <v>0</v>
      </c>
      <c r="U104" s="77"/>
      <c r="V104" s="80"/>
      <c r="W104" s="80"/>
      <c r="X104" s="80"/>
      <c r="Y104" s="83"/>
      <c r="Z104" s="86"/>
      <c r="AA104" s="48"/>
      <c r="AB104" s="48"/>
      <c r="AC104" s="96"/>
      <c r="AD104" s="99"/>
      <c r="AE104" s="101"/>
    </row>
    <row r="105" spans="1:31" ht="17.100000000000001" customHeight="1" x14ac:dyDescent="0.25">
      <c r="A105" s="51"/>
      <c r="B105" s="54"/>
      <c r="C105" s="68"/>
      <c r="D105" s="69"/>
      <c r="E105" s="70"/>
      <c r="F105" s="68"/>
      <c r="G105" s="70"/>
      <c r="H105" s="59"/>
      <c r="I105" s="24"/>
      <c r="J105" s="62"/>
      <c r="K105" s="65"/>
      <c r="L105" s="17"/>
      <c r="M105" s="54"/>
      <c r="N105" s="44"/>
      <c r="O105" s="45"/>
      <c r="P105" s="38"/>
      <c r="Q105" s="45"/>
      <c r="R105" s="38"/>
      <c r="S105" s="39"/>
      <c r="T105" s="32"/>
      <c r="U105" s="78"/>
      <c r="V105" s="81"/>
      <c r="W105" s="81"/>
      <c r="X105" s="81"/>
      <c r="Y105" s="84"/>
      <c r="Z105" s="34"/>
      <c r="AA105" s="29"/>
      <c r="AB105" s="29"/>
      <c r="AC105" s="97"/>
      <c r="AD105" s="100"/>
      <c r="AE105" s="102"/>
    </row>
    <row r="106" spans="1:31" ht="17.100000000000001" customHeight="1" x14ac:dyDescent="0.25">
      <c r="A106" s="51"/>
      <c r="B106" s="66"/>
      <c r="C106" s="68"/>
      <c r="D106" s="69"/>
      <c r="E106" s="70"/>
      <c r="F106" s="68"/>
      <c r="G106" s="70"/>
      <c r="H106" s="59"/>
      <c r="I106" s="27"/>
      <c r="J106" s="63"/>
      <c r="K106" s="71"/>
      <c r="L106" s="18"/>
      <c r="M106" s="66"/>
      <c r="N106" s="46"/>
      <c r="O106" s="47"/>
      <c r="P106" s="40"/>
      <c r="Q106" s="47"/>
      <c r="R106" s="40"/>
      <c r="S106" s="41"/>
      <c r="T106" s="31">
        <f>(P107-P104)+(R104-R107)</f>
        <v>0</v>
      </c>
      <c r="U106" s="78"/>
      <c r="V106" s="81"/>
      <c r="W106" s="81"/>
      <c r="X106" s="81"/>
      <c r="Y106" s="84"/>
      <c r="Z106" s="87"/>
      <c r="AA106" s="49"/>
      <c r="AB106" s="49"/>
      <c r="AC106" s="98"/>
      <c r="AD106" s="104"/>
      <c r="AE106" s="102"/>
    </row>
    <row r="107" spans="1:31" ht="17.100000000000001" customHeight="1" x14ac:dyDescent="0.25">
      <c r="A107" s="51"/>
      <c r="B107" s="54"/>
      <c r="C107" s="68"/>
      <c r="D107" s="69"/>
      <c r="E107" s="70"/>
      <c r="F107" s="68"/>
      <c r="G107" s="70"/>
      <c r="H107" s="59"/>
      <c r="I107" s="23"/>
      <c r="J107" s="88"/>
      <c r="K107" s="65"/>
      <c r="L107" s="18"/>
      <c r="M107" s="54"/>
      <c r="N107" s="90">
        <f>(P104-N104)+(P107-P104)+(R104-R107)</f>
        <v>0</v>
      </c>
      <c r="O107" s="91"/>
      <c r="P107" s="90"/>
      <c r="Q107" s="91"/>
      <c r="R107" s="90"/>
      <c r="S107" s="94"/>
      <c r="T107" s="32"/>
      <c r="U107" s="78"/>
      <c r="V107" s="81"/>
      <c r="W107" s="81"/>
      <c r="X107" s="81"/>
      <c r="Y107" s="84"/>
      <c r="Z107" s="34"/>
      <c r="AA107" s="28"/>
      <c r="AB107" s="28"/>
      <c r="AC107" s="97"/>
      <c r="AD107" s="100"/>
      <c r="AE107" s="102"/>
    </row>
    <row r="108" spans="1:31" ht="17.100000000000001" customHeight="1" x14ac:dyDescent="0.25">
      <c r="A108" s="51"/>
      <c r="B108" s="66"/>
      <c r="C108" s="68"/>
      <c r="D108" s="69"/>
      <c r="E108" s="70"/>
      <c r="F108" s="68"/>
      <c r="G108" s="70"/>
      <c r="H108" s="59"/>
      <c r="I108" s="24"/>
      <c r="J108" s="62"/>
      <c r="K108" s="71" t="s">
        <v>51</v>
      </c>
      <c r="L108" s="16" t="s">
        <v>51</v>
      </c>
      <c r="M108" s="66" t="s">
        <v>51</v>
      </c>
      <c r="N108" s="38"/>
      <c r="O108" s="45"/>
      <c r="P108" s="38"/>
      <c r="Q108" s="45"/>
      <c r="R108" s="38"/>
      <c r="S108" s="39"/>
      <c r="T108" s="31">
        <f t="shared" ref="T108" si="31">R107-P107</f>
        <v>0</v>
      </c>
      <c r="U108" s="78"/>
      <c r="V108" s="81"/>
      <c r="W108" s="81"/>
      <c r="X108" s="81"/>
      <c r="Y108" s="84"/>
      <c r="Z108" s="34"/>
      <c r="AA108" s="29"/>
      <c r="AB108" s="29"/>
      <c r="AC108" s="97"/>
      <c r="AD108" s="104"/>
      <c r="AE108" s="102"/>
    </row>
    <row r="109" spans="1:31" ht="17.100000000000001" customHeight="1" thickBot="1" x14ac:dyDescent="0.3">
      <c r="A109" s="52"/>
      <c r="B109" s="67"/>
      <c r="C109" s="73"/>
      <c r="D109" s="74"/>
      <c r="E109" s="75"/>
      <c r="F109" s="73"/>
      <c r="G109" s="75"/>
      <c r="H109" s="60"/>
      <c r="I109" s="25"/>
      <c r="J109" s="89"/>
      <c r="K109" s="72"/>
      <c r="L109" s="19" t="s">
        <v>52</v>
      </c>
      <c r="M109" s="67"/>
      <c r="N109" s="92"/>
      <c r="O109" s="93"/>
      <c r="P109" s="92"/>
      <c r="Q109" s="93"/>
      <c r="R109" s="92"/>
      <c r="S109" s="95"/>
      <c r="T109" s="33"/>
      <c r="U109" s="79"/>
      <c r="V109" s="82"/>
      <c r="W109" s="82"/>
      <c r="X109" s="82"/>
      <c r="Y109" s="85"/>
      <c r="Z109" s="35"/>
      <c r="AA109" s="30"/>
      <c r="AB109" s="30"/>
      <c r="AC109" s="105"/>
      <c r="AD109" s="106"/>
      <c r="AE109" s="103"/>
    </row>
    <row r="110" spans="1:31" ht="17.100000000000001" customHeight="1" x14ac:dyDescent="0.25">
      <c r="A110" s="50">
        <v>46023</v>
      </c>
      <c r="B110" s="53"/>
      <c r="C110" s="55"/>
      <c r="D110" s="56"/>
      <c r="E110" s="57"/>
      <c r="F110" s="55"/>
      <c r="G110" s="57"/>
      <c r="H110" s="58"/>
      <c r="I110" s="26"/>
      <c r="J110" s="61"/>
      <c r="K110" s="64"/>
      <c r="L110" s="11"/>
      <c r="M110" s="53"/>
      <c r="N110" s="42"/>
      <c r="O110" s="43"/>
      <c r="P110" s="36"/>
      <c r="Q110" s="43"/>
      <c r="R110" s="36"/>
      <c r="S110" s="37"/>
      <c r="T110" s="76">
        <f t="shared" ref="T110" si="32">R110-P110</f>
        <v>0</v>
      </c>
      <c r="U110" s="77"/>
      <c r="V110" s="80"/>
      <c r="W110" s="80"/>
      <c r="X110" s="80"/>
      <c r="Y110" s="83"/>
      <c r="Z110" s="86"/>
      <c r="AA110" s="48"/>
      <c r="AB110" s="48"/>
      <c r="AC110" s="96"/>
      <c r="AD110" s="99"/>
      <c r="AE110" s="101"/>
    </row>
    <row r="111" spans="1:31" ht="17.100000000000001" customHeight="1" x14ac:dyDescent="0.25">
      <c r="A111" s="51"/>
      <c r="B111" s="54"/>
      <c r="C111" s="68"/>
      <c r="D111" s="69"/>
      <c r="E111" s="70"/>
      <c r="F111" s="68"/>
      <c r="G111" s="70"/>
      <c r="H111" s="59"/>
      <c r="I111" s="24"/>
      <c r="J111" s="62"/>
      <c r="K111" s="65"/>
      <c r="L111" s="17"/>
      <c r="M111" s="54"/>
      <c r="N111" s="44"/>
      <c r="O111" s="45"/>
      <c r="P111" s="38"/>
      <c r="Q111" s="45"/>
      <c r="R111" s="38"/>
      <c r="S111" s="39"/>
      <c r="T111" s="32"/>
      <c r="U111" s="78"/>
      <c r="V111" s="81"/>
      <c r="W111" s="81"/>
      <c r="X111" s="81"/>
      <c r="Y111" s="84"/>
      <c r="Z111" s="34"/>
      <c r="AA111" s="29"/>
      <c r="AB111" s="29"/>
      <c r="AC111" s="97"/>
      <c r="AD111" s="100"/>
      <c r="AE111" s="102"/>
    </row>
    <row r="112" spans="1:31" ht="17.100000000000001" customHeight="1" x14ac:dyDescent="0.25">
      <c r="A112" s="51"/>
      <c r="B112" s="66"/>
      <c r="C112" s="68"/>
      <c r="D112" s="69"/>
      <c r="E112" s="70"/>
      <c r="F112" s="68"/>
      <c r="G112" s="70"/>
      <c r="H112" s="59"/>
      <c r="I112" s="27"/>
      <c r="J112" s="63"/>
      <c r="K112" s="71"/>
      <c r="L112" s="18"/>
      <c r="M112" s="66"/>
      <c r="N112" s="46"/>
      <c r="O112" s="47"/>
      <c r="P112" s="40"/>
      <c r="Q112" s="47"/>
      <c r="R112" s="40"/>
      <c r="S112" s="41"/>
      <c r="T112" s="31">
        <f>(P113-P110)+(R110-R113)</f>
        <v>0</v>
      </c>
      <c r="U112" s="78"/>
      <c r="V112" s="81"/>
      <c r="W112" s="81"/>
      <c r="X112" s="81"/>
      <c r="Y112" s="84"/>
      <c r="Z112" s="87"/>
      <c r="AA112" s="49"/>
      <c r="AB112" s="49"/>
      <c r="AC112" s="98"/>
      <c r="AD112" s="104"/>
      <c r="AE112" s="102"/>
    </row>
    <row r="113" spans="1:31" ht="17.100000000000001" customHeight="1" x14ac:dyDescent="0.25">
      <c r="A113" s="51"/>
      <c r="B113" s="54"/>
      <c r="C113" s="68"/>
      <c r="D113" s="69"/>
      <c r="E113" s="70"/>
      <c r="F113" s="68"/>
      <c r="G113" s="70"/>
      <c r="H113" s="59"/>
      <c r="I113" s="23"/>
      <c r="J113" s="88"/>
      <c r="K113" s="65"/>
      <c r="L113" s="18"/>
      <c r="M113" s="54"/>
      <c r="N113" s="90">
        <f>(P110-N110)+(P113-P110)+(R110-R113)</f>
        <v>0</v>
      </c>
      <c r="O113" s="91"/>
      <c r="P113" s="90"/>
      <c r="Q113" s="91"/>
      <c r="R113" s="90"/>
      <c r="S113" s="94"/>
      <c r="T113" s="32"/>
      <c r="U113" s="78"/>
      <c r="V113" s="81"/>
      <c r="W113" s="81"/>
      <c r="X113" s="81"/>
      <c r="Y113" s="84"/>
      <c r="Z113" s="34"/>
      <c r="AA113" s="28"/>
      <c r="AB113" s="28"/>
      <c r="AC113" s="97"/>
      <c r="AD113" s="100"/>
      <c r="AE113" s="102"/>
    </row>
    <row r="114" spans="1:31" ht="17.100000000000001" customHeight="1" x14ac:dyDescent="0.25">
      <c r="A114" s="51"/>
      <c r="B114" s="66"/>
      <c r="C114" s="68"/>
      <c r="D114" s="69"/>
      <c r="E114" s="70"/>
      <c r="F114" s="68"/>
      <c r="G114" s="70"/>
      <c r="H114" s="59"/>
      <c r="I114" s="24"/>
      <c r="J114" s="62"/>
      <c r="K114" s="71" t="s">
        <v>51</v>
      </c>
      <c r="L114" s="16" t="s">
        <v>51</v>
      </c>
      <c r="M114" s="66" t="s">
        <v>51</v>
      </c>
      <c r="N114" s="38"/>
      <c r="O114" s="45"/>
      <c r="P114" s="38"/>
      <c r="Q114" s="45"/>
      <c r="R114" s="38"/>
      <c r="S114" s="39"/>
      <c r="T114" s="31">
        <f t="shared" ref="T114" si="33">R113-P113</f>
        <v>0</v>
      </c>
      <c r="U114" s="78"/>
      <c r="V114" s="81"/>
      <c r="W114" s="81"/>
      <c r="X114" s="81"/>
      <c r="Y114" s="84"/>
      <c r="Z114" s="34"/>
      <c r="AA114" s="29"/>
      <c r="AB114" s="29"/>
      <c r="AC114" s="97"/>
      <c r="AD114" s="104"/>
      <c r="AE114" s="102"/>
    </row>
    <row r="115" spans="1:31" ht="17.100000000000001" customHeight="1" thickBot="1" x14ac:dyDescent="0.3">
      <c r="A115" s="52"/>
      <c r="B115" s="67"/>
      <c r="C115" s="73"/>
      <c r="D115" s="74"/>
      <c r="E115" s="75"/>
      <c r="F115" s="73"/>
      <c r="G115" s="75"/>
      <c r="H115" s="60"/>
      <c r="I115" s="25"/>
      <c r="J115" s="89"/>
      <c r="K115" s="72"/>
      <c r="L115" s="19" t="s">
        <v>52</v>
      </c>
      <c r="M115" s="67"/>
      <c r="N115" s="92"/>
      <c r="O115" s="93"/>
      <c r="P115" s="92"/>
      <c r="Q115" s="93"/>
      <c r="R115" s="92"/>
      <c r="S115" s="95"/>
      <c r="T115" s="33"/>
      <c r="U115" s="79"/>
      <c r="V115" s="82"/>
      <c r="W115" s="82"/>
      <c r="X115" s="82"/>
      <c r="Y115" s="85"/>
      <c r="Z115" s="35"/>
      <c r="AA115" s="30"/>
      <c r="AB115" s="30"/>
      <c r="AC115" s="105"/>
      <c r="AD115" s="106"/>
      <c r="AE115" s="103"/>
    </row>
    <row r="116" spans="1:31" ht="17.100000000000001" customHeight="1" x14ac:dyDescent="0.25">
      <c r="A116" s="50">
        <v>46023</v>
      </c>
      <c r="B116" s="53"/>
      <c r="C116" s="55"/>
      <c r="D116" s="56"/>
      <c r="E116" s="57"/>
      <c r="F116" s="55"/>
      <c r="G116" s="57"/>
      <c r="H116" s="58"/>
      <c r="I116" s="26"/>
      <c r="J116" s="61"/>
      <c r="K116" s="64"/>
      <c r="L116" s="11"/>
      <c r="M116" s="53"/>
      <c r="N116" s="42"/>
      <c r="O116" s="43"/>
      <c r="P116" s="36"/>
      <c r="Q116" s="43"/>
      <c r="R116" s="36"/>
      <c r="S116" s="37"/>
      <c r="T116" s="76">
        <f t="shared" ref="T116" si="34">R116-P116</f>
        <v>0</v>
      </c>
      <c r="U116" s="77"/>
      <c r="V116" s="80"/>
      <c r="W116" s="80"/>
      <c r="X116" s="80"/>
      <c r="Y116" s="83"/>
      <c r="Z116" s="86"/>
      <c r="AA116" s="48"/>
      <c r="AB116" s="48"/>
      <c r="AC116" s="96"/>
      <c r="AD116" s="99"/>
      <c r="AE116" s="101"/>
    </row>
    <row r="117" spans="1:31" ht="17.100000000000001" customHeight="1" x14ac:dyDescent="0.25">
      <c r="A117" s="51"/>
      <c r="B117" s="54"/>
      <c r="C117" s="68"/>
      <c r="D117" s="69"/>
      <c r="E117" s="70"/>
      <c r="F117" s="68"/>
      <c r="G117" s="70"/>
      <c r="H117" s="59"/>
      <c r="I117" s="24"/>
      <c r="J117" s="62"/>
      <c r="K117" s="65"/>
      <c r="L117" s="17"/>
      <c r="M117" s="54"/>
      <c r="N117" s="44"/>
      <c r="O117" s="45"/>
      <c r="P117" s="38"/>
      <c r="Q117" s="45"/>
      <c r="R117" s="38"/>
      <c r="S117" s="39"/>
      <c r="T117" s="32"/>
      <c r="U117" s="78"/>
      <c r="V117" s="81"/>
      <c r="W117" s="81"/>
      <c r="X117" s="81"/>
      <c r="Y117" s="84"/>
      <c r="Z117" s="34"/>
      <c r="AA117" s="29"/>
      <c r="AB117" s="29"/>
      <c r="AC117" s="97"/>
      <c r="AD117" s="100"/>
      <c r="AE117" s="102"/>
    </row>
    <row r="118" spans="1:31" ht="17.100000000000001" customHeight="1" x14ac:dyDescent="0.25">
      <c r="A118" s="51"/>
      <c r="B118" s="66"/>
      <c r="C118" s="68"/>
      <c r="D118" s="69"/>
      <c r="E118" s="70"/>
      <c r="F118" s="68"/>
      <c r="G118" s="70"/>
      <c r="H118" s="59"/>
      <c r="I118" s="27"/>
      <c r="J118" s="63"/>
      <c r="K118" s="71"/>
      <c r="L118" s="18"/>
      <c r="M118" s="66"/>
      <c r="N118" s="46"/>
      <c r="O118" s="47"/>
      <c r="P118" s="40"/>
      <c r="Q118" s="47"/>
      <c r="R118" s="40"/>
      <c r="S118" s="41"/>
      <c r="T118" s="31">
        <f>(P119-P116)+(R116-R119)</f>
        <v>0</v>
      </c>
      <c r="U118" s="78"/>
      <c r="V118" s="81"/>
      <c r="W118" s="81"/>
      <c r="X118" s="81"/>
      <c r="Y118" s="84"/>
      <c r="Z118" s="87"/>
      <c r="AA118" s="49"/>
      <c r="AB118" s="49"/>
      <c r="AC118" s="98"/>
      <c r="AD118" s="104"/>
      <c r="AE118" s="102"/>
    </row>
    <row r="119" spans="1:31" ht="17.100000000000001" customHeight="1" x14ac:dyDescent="0.25">
      <c r="A119" s="51"/>
      <c r="B119" s="54"/>
      <c r="C119" s="68"/>
      <c r="D119" s="69"/>
      <c r="E119" s="70"/>
      <c r="F119" s="68"/>
      <c r="G119" s="70"/>
      <c r="H119" s="59"/>
      <c r="I119" s="23"/>
      <c r="J119" s="88"/>
      <c r="K119" s="65"/>
      <c r="L119" s="18"/>
      <c r="M119" s="54"/>
      <c r="N119" s="90">
        <f>(P116-N116)+(P119-P116)+(R116-R119)</f>
        <v>0</v>
      </c>
      <c r="O119" s="91"/>
      <c r="P119" s="90"/>
      <c r="Q119" s="91"/>
      <c r="R119" s="90"/>
      <c r="S119" s="94"/>
      <c r="T119" s="32"/>
      <c r="U119" s="78"/>
      <c r="V119" s="81"/>
      <c r="W119" s="81"/>
      <c r="X119" s="81"/>
      <c r="Y119" s="84"/>
      <c r="Z119" s="34"/>
      <c r="AA119" s="28"/>
      <c r="AB119" s="28"/>
      <c r="AC119" s="97"/>
      <c r="AD119" s="100"/>
      <c r="AE119" s="102"/>
    </row>
    <row r="120" spans="1:31" ht="17.100000000000001" customHeight="1" x14ac:dyDescent="0.25">
      <c r="A120" s="51"/>
      <c r="B120" s="66"/>
      <c r="C120" s="68"/>
      <c r="D120" s="69"/>
      <c r="E120" s="70"/>
      <c r="F120" s="68"/>
      <c r="G120" s="70"/>
      <c r="H120" s="59"/>
      <c r="I120" s="24"/>
      <c r="J120" s="62"/>
      <c r="K120" s="71" t="s">
        <v>51</v>
      </c>
      <c r="L120" s="16" t="s">
        <v>51</v>
      </c>
      <c r="M120" s="66" t="s">
        <v>51</v>
      </c>
      <c r="N120" s="38"/>
      <c r="O120" s="45"/>
      <c r="P120" s="38"/>
      <c r="Q120" s="45"/>
      <c r="R120" s="38"/>
      <c r="S120" s="39"/>
      <c r="T120" s="31">
        <f t="shared" ref="T120" si="35">R119-P119</f>
        <v>0</v>
      </c>
      <c r="U120" s="78"/>
      <c r="V120" s="81"/>
      <c r="W120" s="81"/>
      <c r="X120" s="81"/>
      <c r="Y120" s="84"/>
      <c r="Z120" s="34"/>
      <c r="AA120" s="29"/>
      <c r="AB120" s="29"/>
      <c r="AC120" s="97"/>
      <c r="AD120" s="104"/>
      <c r="AE120" s="102"/>
    </row>
    <row r="121" spans="1:31" ht="17.100000000000001" customHeight="1" thickBot="1" x14ac:dyDescent="0.3">
      <c r="A121" s="52"/>
      <c r="B121" s="67"/>
      <c r="C121" s="73"/>
      <c r="D121" s="74"/>
      <c r="E121" s="75"/>
      <c r="F121" s="73"/>
      <c r="G121" s="75"/>
      <c r="H121" s="60"/>
      <c r="I121" s="25"/>
      <c r="J121" s="89"/>
      <c r="K121" s="72"/>
      <c r="L121" s="19" t="s">
        <v>52</v>
      </c>
      <c r="M121" s="67"/>
      <c r="N121" s="92"/>
      <c r="O121" s="93"/>
      <c r="P121" s="92"/>
      <c r="Q121" s="93"/>
      <c r="R121" s="92"/>
      <c r="S121" s="95"/>
      <c r="T121" s="33"/>
      <c r="U121" s="79"/>
      <c r="V121" s="82"/>
      <c r="W121" s="82"/>
      <c r="X121" s="82"/>
      <c r="Y121" s="85"/>
      <c r="Z121" s="35"/>
      <c r="AA121" s="30"/>
      <c r="AB121" s="30"/>
      <c r="AC121" s="105"/>
      <c r="AD121" s="106"/>
      <c r="AE121" s="103"/>
    </row>
    <row r="122" spans="1:31" ht="17.100000000000001" customHeight="1" x14ac:dyDescent="0.25">
      <c r="A122" s="50">
        <v>46023</v>
      </c>
      <c r="B122" s="53"/>
      <c r="C122" s="55"/>
      <c r="D122" s="56"/>
      <c r="E122" s="57"/>
      <c r="F122" s="55"/>
      <c r="G122" s="57"/>
      <c r="H122" s="58"/>
      <c r="I122" s="26"/>
      <c r="J122" s="61"/>
      <c r="K122" s="64"/>
      <c r="L122" s="11"/>
      <c r="M122" s="53"/>
      <c r="N122" s="42"/>
      <c r="O122" s="43"/>
      <c r="P122" s="36"/>
      <c r="Q122" s="43"/>
      <c r="R122" s="36"/>
      <c r="S122" s="37"/>
      <c r="T122" s="76">
        <f t="shared" ref="T122" si="36">R122-P122</f>
        <v>0</v>
      </c>
      <c r="U122" s="77"/>
      <c r="V122" s="80"/>
      <c r="W122" s="80"/>
      <c r="X122" s="80"/>
      <c r="Y122" s="83"/>
      <c r="Z122" s="86"/>
      <c r="AA122" s="48"/>
      <c r="AB122" s="48"/>
      <c r="AC122" s="96"/>
      <c r="AD122" s="99"/>
      <c r="AE122" s="101"/>
    </row>
    <row r="123" spans="1:31" ht="17.100000000000001" customHeight="1" x14ac:dyDescent="0.25">
      <c r="A123" s="51"/>
      <c r="B123" s="54"/>
      <c r="C123" s="68"/>
      <c r="D123" s="69"/>
      <c r="E123" s="70"/>
      <c r="F123" s="68"/>
      <c r="G123" s="70"/>
      <c r="H123" s="59"/>
      <c r="I123" s="24"/>
      <c r="J123" s="62"/>
      <c r="K123" s="65"/>
      <c r="L123" s="17"/>
      <c r="M123" s="54"/>
      <c r="N123" s="44"/>
      <c r="O123" s="45"/>
      <c r="P123" s="38"/>
      <c r="Q123" s="45"/>
      <c r="R123" s="38"/>
      <c r="S123" s="39"/>
      <c r="T123" s="32"/>
      <c r="U123" s="78"/>
      <c r="V123" s="81"/>
      <c r="W123" s="81"/>
      <c r="X123" s="81"/>
      <c r="Y123" s="84"/>
      <c r="Z123" s="34"/>
      <c r="AA123" s="29"/>
      <c r="AB123" s="29"/>
      <c r="AC123" s="97"/>
      <c r="AD123" s="100"/>
      <c r="AE123" s="102"/>
    </row>
    <row r="124" spans="1:31" ht="17.100000000000001" customHeight="1" x14ac:dyDescent="0.25">
      <c r="A124" s="51"/>
      <c r="B124" s="66"/>
      <c r="C124" s="68"/>
      <c r="D124" s="69"/>
      <c r="E124" s="70"/>
      <c r="F124" s="68"/>
      <c r="G124" s="70"/>
      <c r="H124" s="59"/>
      <c r="I124" s="27"/>
      <c r="J124" s="63"/>
      <c r="K124" s="71"/>
      <c r="L124" s="18"/>
      <c r="M124" s="66"/>
      <c r="N124" s="46"/>
      <c r="O124" s="47"/>
      <c r="P124" s="40"/>
      <c r="Q124" s="47"/>
      <c r="R124" s="40"/>
      <c r="S124" s="41"/>
      <c r="T124" s="31">
        <f>(P125-P122)+(R122-R125)</f>
        <v>0</v>
      </c>
      <c r="U124" s="78"/>
      <c r="V124" s="81"/>
      <c r="W124" s="81"/>
      <c r="X124" s="81"/>
      <c r="Y124" s="84"/>
      <c r="Z124" s="87"/>
      <c r="AA124" s="49"/>
      <c r="AB124" s="49"/>
      <c r="AC124" s="98"/>
      <c r="AD124" s="104"/>
      <c r="AE124" s="102"/>
    </row>
    <row r="125" spans="1:31" ht="17.100000000000001" customHeight="1" x14ac:dyDescent="0.25">
      <c r="A125" s="51"/>
      <c r="B125" s="54"/>
      <c r="C125" s="68"/>
      <c r="D125" s="69"/>
      <c r="E125" s="70"/>
      <c r="F125" s="68"/>
      <c r="G125" s="70"/>
      <c r="H125" s="59"/>
      <c r="I125" s="23"/>
      <c r="J125" s="88"/>
      <c r="K125" s="65"/>
      <c r="L125" s="18"/>
      <c r="M125" s="54"/>
      <c r="N125" s="90">
        <f>(P122-N122)+(P125-P122)+(R122-R125)</f>
        <v>0</v>
      </c>
      <c r="O125" s="91"/>
      <c r="P125" s="90"/>
      <c r="Q125" s="91"/>
      <c r="R125" s="90"/>
      <c r="S125" s="94"/>
      <c r="T125" s="32"/>
      <c r="U125" s="78"/>
      <c r="V125" s="81"/>
      <c r="W125" s="81"/>
      <c r="X125" s="81"/>
      <c r="Y125" s="84"/>
      <c r="Z125" s="34"/>
      <c r="AA125" s="28"/>
      <c r="AB125" s="28"/>
      <c r="AC125" s="97"/>
      <c r="AD125" s="100"/>
      <c r="AE125" s="102"/>
    </row>
    <row r="126" spans="1:31" ht="17.100000000000001" customHeight="1" x14ac:dyDescent="0.25">
      <c r="A126" s="51"/>
      <c r="B126" s="66"/>
      <c r="C126" s="68"/>
      <c r="D126" s="69"/>
      <c r="E126" s="70"/>
      <c r="F126" s="68"/>
      <c r="G126" s="70"/>
      <c r="H126" s="59"/>
      <c r="I126" s="24"/>
      <c r="J126" s="62"/>
      <c r="K126" s="71" t="s">
        <v>51</v>
      </c>
      <c r="L126" s="16" t="s">
        <v>51</v>
      </c>
      <c r="M126" s="66" t="s">
        <v>51</v>
      </c>
      <c r="N126" s="38"/>
      <c r="O126" s="45"/>
      <c r="P126" s="38"/>
      <c r="Q126" s="45"/>
      <c r="R126" s="38"/>
      <c r="S126" s="39"/>
      <c r="T126" s="31">
        <f t="shared" ref="T126" si="37">R125-P125</f>
        <v>0</v>
      </c>
      <c r="U126" s="78"/>
      <c r="V126" s="81"/>
      <c r="W126" s="81"/>
      <c r="X126" s="81"/>
      <c r="Y126" s="84"/>
      <c r="Z126" s="34"/>
      <c r="AA126" s="29"/>
      <c r="AB126" s="29"/>
      <c r="AC126" s="97"/>
      <c r="AD126" s="104"/>
      <c r="AE126" s="102"/>
    </row>
    <row r="127" spans="1:31" ht="17.100000000000001" customHeight="1" thickBot="1" x14ac:dyDescent="0.3">
      <c r="A127" s="52"/>
      <c r="B127" s="67"/>
      <c r="C127" s="73"/>
      <c r="D127" s="74"/>
      <c r="E127" s="75"/>
      <c r="F127" s="73"/>
      <c r="G127" s="75"/>
      <c r="H127" s="60"/>
      <c r="I127" s="25"/>
      <c r="J127" s="89"/>
      <c r="K127" s="72"/>
      <c r="L127" s="19" t="s">
        <v>52</v>
      </c>
      <c r="M127" s="67"/>
      <c r="N127" s="92"/>
      <c r="O127" s="93"/>
      <c r="P127" s="92"/>
      <c r="Q127" s="93"/>
      <c r="R127" s="92"/>
      <c r="S127" s="95"/>
      <c r="T127" s="33"/>
      <c r="U127" s="79"/>
      <c r="V127" s="82"/>
      <c r="W127" s="82"/>
      <c r="X127" s="82"/>
      <c r="Y127" s="85"/>
      <c r="Z127" s="35"/>
      <c r="AA127" s="30"/>
      <c r="AB127" s="30"/>
      <c r="AC127" s="105"/>
      <c r="AD127" s="106"/>
      <c r="AE127" s="103"/>
    </row>
    <row r="129" spans="1:31" ht="17.100000000000001" customHeight="1" thickBot="1" x14ac:dyDescent="0.3"/>
    <row r="130" spans="1:31" ht="17.100000000000001" customHeight="1" x14ac:dyDescent="0.25">
      <c r="A130" s="50">
        <v>46023</v>
      </c>
      <c r="B130" s="53"/>
      <c r="C130" s="55"/>
      <c r="D130" s="56"/>
      <c r="E130" s="57"/>
      <c r="F130" s="55"/>
      <c r="G130" s="57"/>
      <c r="H130" s="58"/>
      <c r="I130" s="26"/>
      <c r="J130" s="61"/>
      <c r="K130" s="64"/>
      <c r="L130" s="11"/>
      <c r="M130" s="53"/>
      <c r="N130" s="42"/>
      <c r="O130" s="43"/>
      <c r="P130" s="36"/>
      <c r="Q130" s="43"/>
      <c r="R130" s="36"/>
      <c r="S130" s="37"/>
      <c r="T130" s="76">
        <f t="shared" ref="T130" si="38">R130-P130</f>
        <v>0</v>
      </c>
      <c r="U130" s="77"/>
      <c r="V130" s="80"/>
      <c r="W130" s="80"/>
      <c r="X130" s="80"/>
      <c r="Y130" s="83"/>
      <c r="Z130" s="86"/>
      <c r="AA130" s="48"/>
      <c r="AB130" s="48"/>
      <c r="AC130" s="96"/>
      <c r="AD130" s="99"/>
      <c r="AE130" s="101"/>
    </row>
    <row r="131" spans="1:31" ht="17.100000000000001" customHeight="1" x14ac:dyDescent="0.25">
      <c r="A131" s="51"/>
      <c r="B131" s="54"/>
      <c r="C131" s="68"/>
      <c r="D131" s="69"/>
      <c r="E131" s="70"/>
      <c r="F131" s="68"/>
      <c r="G131" s="70"/>
      <c r="H131" s="59"/>
      <c r="I131" s="24"/>
      <c r="J131" s="62"/>
      <c r="K131" s="65"/>
      <c r="L131" s="17"/>
      <c r="M131" s="54"/>
      <c r="N131" s="44"/>
      <c r="O131" s="45"/>
      <c r="P131" s="38"/>
      <c r="Q131" s="45"/>
      <c r="R131" s="38"/>
      <c r="S131" s="39"/>
      <c r="T131" s="32"/>
      <c r="U131" s="78"/>
      <c r="V131" s="81"/>
      <c r="W131" s="81"/>
      <c r="X131" s="81"/>
      <c r="Y131" s="84"/>
      <c r="Z131" s="34"/>
      <c r="AA131" s="29"/>
      <c r="AB131" s="29"/>
      <c r="AC131" s="97"/>
      <c r="AD131" s="100"/>
      <c r="AE131" s="102"/>
    </row>
    <row r="132" spans="1:31" ht="17.100000000000001" customHeight="1" x14ac:dyDescent="0.25">
      <c r="A132" s="51"/>
      <c r="B132" s="66"/>
      <c r="C132" s="68"/>
      <c r="D132" s="69"/>
      <c r="E132" s="70"/>
      <c r="F132" s="68"/>
      <c r="G132" s="70"/>
      <c r="H132" s="59"/>
      <c r="I132" s="27"/>
      <c r="J132" s="63"/>
      <c r="K132" s="71"/>
      <c r="L132" s="18"/>
      <c r="M132" s="66"/>
      <c r="N132" s="46"/>
      <c r="O132" s="47"/>
      <c r="P132" s="40"/>
      <c r="Q132" s="47"/>
      <c r="R132" s="40"/>
      <c r="S132" s="41"/>
      <c r="T132" s="31">
        <f>(P133-P130)+(R130-R133)</f>
        <v>0</v>
      </c>
      <c r="U132" s="78"/>
      <c r="V132" s="81"/>
      <c r="W132" s="81"/>
      <c r="X132" s="81"/>
      <c r="Y132" s="84"/>
      <c r="Z132" s="87"/>
      <c r="AA132" s="49"/>
      <c r="AB132" s="49"/>
      <c r="AC132" s="98"/>
      <c r="AD132" s="104"/>
      <c r="AE132" s="102"/>
    </row>
    <row r="133" spans="1:31" ht="17.100000000000001" customHeight="1" x14ac:dyDescent="0.25">
      <c r="A133" s="51"/>
      <c r="B133" s="54"/>
      <c r="C133" s="68"/>
      <c r="D133" s="69"/>
      <c r="E133" s="70"/>
      <c r="F133" s="68"/>
      <c r="G133" s="70"/>
      <c r="H133" s="59"/>
      <c r="I133" s="23"/>
      <c r="J133" s="88"/>
      <c r="K133" s="65"/>
      <c r="L133" s="18"/>
      <c r="M133" s="54"/>
      <c r="N133" s="90">
        <f>(P130-N130)+(P133-P130)+(R130-R133)</f>
        <v>0</v>
      </c>
      <c r="O133" s="91"/>
      <c r="P133" s="90"/>
      <c r="Q133" s="91"/>
      <c r="R133" s="90"/>
      <c r="S133" s="94"/>
      <c r="T133" s="32"/>
      <c r="U133" s="78"/>
      <c r="V133" s="81"/>
      <c r="W133" s="81"/>
      <c r="X133" s="81"/>
      <c r="Y133" s="84"/>
      <c r="Z133" s="34"/>
      <c r="AA133" s="28"/>
      <c r="AB133" s="28"/>
      <c r="AC133" s="97"/>
      <c r="AD133" s="100"/>
      <c r="AE133" s="102"/>
    </row>
    <row r="134" spans="1:31" ht="17.100000000000001" customHeight="1" x14ac:dyDescent="0.25">
      <c r="A134" s="51"/>
      <c r="B134" s="66"/>
      <c r="C134" s="68"/>
      <c r="D134" s="69"/>
      <c r="E134" s="70"/>
      <c r="F134" s="68"/>
      <c r="G134" s="70"/>
      <c r="H134" s="59"/>
      <c r="I134" s="24"/>
      <c r="J134" s="62"/>
      <c r="K134" s="71" t="s">
        <v>51</v>
      </c>
      <c r="L134" s="16" t="s">
        <v>51</v>
      </c>
      <c r="M134" s="66" t="s">
        <v>51</v>
      </c>
      <c r="N134" s="38"/>
      <c r="O134" s="45"/>
      <c r="P134" s="38"/>
      <c r="Q134" s="45"/>
      <c r="R134" s="38"/>
      <c r="S134" s="39"/>
      <c r="T134" s="31">
        <f t="shared" ref="T134" si="39">R133-P133</f>
        <v>0</v>
      </c>
      <c r="U134" s="78"/>
      <c r="V134" s="81"/>
      <c r="W134" s="81"/>
      <c r="X134" s="81"/>
      <c r="Y134" s="84"/>
      <c r="Z134" s="34"/>
      <c r="AA134" s="29"/>
      <c r="AB134" s="29"/>
      <c r="AC134" s="97"/>
      <c r="AD134" s="104"/>
      <c r="AE134" s="102"/>
    </row>
    <row r="135" spans="1:31" ht="17.100000000000001" customHeight="1" thickBot="1" x14ac:dyDescent="0.3">
      <c r="A135" s="52"/>
      <c r="B135" s="67"/>
      <c r="C135" s="73"/>
      <c r="D135" s="74"/>
      <c r="E135" s="75"/>
      <c r="F135" s="73"/>
      <c r="G135" s="75"/>
      <c r="H135" s="60"/>
      <c r="I135" s="25"/>
      <c r="J135" s="89"/>
      <c r="K135" s="72"/>
      <c r="L135" s="19" t="s">
        <v>52</v>
      </c>
      <c r="M135" s="67"/>
      <c r="N135" s="92"/>
      <c r="O135" s="93"/>
      <c r="P135" s="92"/>
      <c r="Q135" s="93"/>
      <c r="R135" s="92"/>
      <c r="S135" s="95"/>
      <c r="T135" s="33"/>
      <c r="U135" s="79"/>
      <c r="V135" s="82"/>
      <c r="W135" s="82"/>
      <c r="X135" s="82"/>
      <c r="Y135" s="85"/>
      <c r="Z135" s="35"/>
      <c r="AA135" s="30"/>
      <c r="AB135" s="30"/>
      <c r="AC135" s="105"/>
      <c r="AD135" s="106"/>
      <c r="AE135" s="103"/>
    </row>
    <row r="136" spans="1:31" ht="17.100000000000001" customHeight="1" x14ac:dyDescent="0.25">
      <c r="A136" s="50">
        <v>46023</v>
      </c>
      <c r="B136" s="53"/>
      <c r="C136" s="55"/>
      <c r="D136" s="56"/>
      <c r="E136" s="57"/>
      <c r="F136" s="55"/>
      <c r="G136" s="57"/>
      <c r="H136" s="58"/>
      <c r="I136" s="26"/>
      <c r="J136" s="61"/>
      <c r="K136" s="64"/>
      <c r="L136" s="11"/>
      <c r="M136" s="53"/>
      <c r="N136" s="42"/>
      <c r="O136" s="43"/>
      <c r="P136" s="36"/>
      <c r="Q136" s="43"/>
      <c r="R136" s="36"/>
      <c r="S136" s="37"/>
      <c r="T136" s="76">
        <f t="shared" ref="T136" si="40">R136-P136</f>
        <v>0</v>
      </c>
      <c r="U136" s="77"/>
      <c r="V136" s="80"/>
      <c r="W136" s="80"/>
      <c r="X136" s="80"/>
      <c r="Y136" s="83"/>
      <c r="Z136" s="86"/>
      <c r="AA136" s="48"/>
      <c r="AB136" s="48"/>
      <c r="AC136" s="96"/>
      <c r="AD136" s="99"/>
      <c r="AE136" s="101"/>
    </row>
    <row r="137" spans="1:31" ht="17.100000000000001" customHeight="1" x14ac:dyDescent="0.25">
      <c r="A137" s="51"/>
      <c r="B137" s="54"/>
      <c r="C137" s="68"/>
      <c r="D137" s="69"/>
      <c r="E137" s="70"/>
      <c r="F137" s="68"/>
      <c r="G137" s="70"/>
      <c r="H137" s="59"/>
      <c r="I137" s="24"/>
      <c r="J137" s="62"/>
      <c r="K137" s="65"/>
      <c r="L137" s="17"/>
      <c r="M137" s="54"/>
      <c r="N137" s="44"/>
      <c r="O137" s="45"/>
      <c r="P137" s="38"/>
      <c r="Q137" s="45"/>
      <c r="R137" s="38"/>
      <c r="S137" s="39"/>
      <c r="T137" s="32"/>
      <c r="U137" s="78"/>
      <c r="V137" s="81"/>
      <c r="W137" s="81"/>
      <c r="X137" s="81"/>
      <c r="Y137" s="84"/>
      <c r="Z137" s="34"/>
      <c r="AA137" s="29"/>
      <c r="AB137" s="29"/>
      <c r="AC137" s="97"/>
      <c r="AD137" s="100"/>
      <c r="AE137" s="102"/>
    </row>
    <row r="138" spans="1:31" ht="17.100000000000001" customHeight="1" x14ac:dyDescent="0.25">
      <c r="A138" s="51"/>
      <c r="B138" s="66"/>
      <c r="C138" s="68"/>
      <c r="D138" s="69"/>
      <c r="E138" s="70"/>
      <c r="F138" s="68"/>
      <c r="G138" s="70"/>
      <c r="H138" s="59"/>
      <c r="I138" s="27"/>
      <c r="J138" s="63"/>
      <c r="K138" s="71"/>
      <c r="L138" s="18"/>
      <c r="M138" s="66"/>
      <c r="N138" s="46"/>
      <c r="O138" s="47"/>
      <c r="P138" s="40"/>
      <c r="Q138" s="47"/>
      <c r="R138" s="40"/>
      <c r="S138" s="41"/>
      <c r="T138" s="31">
        <f>(P139-P136)+(R136-R139)</f>
        <v>0</v>
      </c>
      <c r="U138" s="78"/>
      <c r="V138" s="81"/>
      <c r="W138" s="81"/>
      <c r="X138" s="81"/>
      <c r="Y138" s="84"/>
      <c r="Z138" s="87"/>
      <c r="AA138" s="49"/>
      <c r="AB138" s="49"/>
      <c r="AC138" s="98"/>
      <c r="AD138" s="104"/>
      <c r="AE138" s="102"/>
    </row>
    <row r="139" spans="1:31" ht="17.100000000000001" customHeight="1" x14ac:dyDescent="0.25">
      <c r="A139" s="51"/>
      <c r="B139" s="54"/>
      <c r="C139" s="68"/>
      <c r="D139" s="69"/>
      <c r="E139" s="70"/>
      <c r="F139" s="68"/>
      <c r="G139" s="70"/>
      <c r="H139" s="59"/>
      <c r="I139" s="23"/>
      <c r="J139" s="88"/>
      <c r="K139" s="65"/>
      <c r="L139" s="18"/>
      <c r="M139" s="54"/>
      <c r="N139" s="90">
        <f>(P136-N136)+(P139-P136)+(R136-R139)</f>
        <v>0</v>
      </c>
      <c r="O139" s="91"/>
      <c r="P139" s="90"/>
      <c r="Q139" s="91"/>
      <c r="R139" s="90"/>
      <c r="S139" s="94"/>
      <c r="T139" s="32"/>
      <c r="U139" s="78"/>
      <c r="V139" s="81"/>
      <c r="W139" s="81"/>
      <c r="X139" s="81"/>
      <c r="Y139" s="84"/>
      <c r="Z139" s="34"/>
      <c r="AA139" s="28"/>
      <c r="AB139" s="28"/>
      <c r="AC139" s="97"/>
      <c r="AD139" s="100"/>
      <c r="AE139" s="102"/>
    </row>
    <row r="140" spans="1:31" ht="17.100000000000001" customHeight="1" x14ac:dyDescent="0.25">
      <c r="A140" s="51"/>
      <c r="B140" s="66"/>
      <c r="C140" s="68"/>
      <c r="D140" s="69"/>
      <c r="E140" s="70"/>
      <c r="F140" s="68"/>
      <c r="G140" s="70"/>
      <c r="H140" s="59"/>
      <c r="I140" s="24"/>
      <c r="J140" s="62"/>
      <c r="K140" s="71" t="s">
        <v>51</v>
      </c>
      <c r="L140" s="16" t="s">
        <v>51</v>
      </c>
      <c r="M140" s="66" t="s">
        <v>51</v>
      </c>
      <c r="N140" s="38"/>
      <c r="O140" s="45"/>
      <c r="P140" s="38"/>
      <c r="Q140" s="45"/>
      <c r="R140" s="38"/>
      <c r="S140" s="39"/>
      <c r="T140" s="31">
        <f t="shared" ref="T140" si="41">R139-P139</f>
        <v>0</v>
      </c>
      <c r="U140" s="78"/>
      <c r="V140" s="81"/>
      <c r="W140" s="81"/>
      <c r="X140" s="81"/>
      <c r="Y140" s="84"/>
      <c r="Z140" s="34"/>
      <c r="AA140" s="29"/>
      <c r="AB140" s="29"/>
      <c r="AC140" s="97"/>
      <c r="AD140" s="104"/>
      <c r="AE140" s="102"/>
    </row>
    <row r="141" spans="1:31" ht="17.100000000000001" customHeight="1" thickBot="1" x14ac:dyDescent="0.3">
      <c r="A141" s="52"/>
      <c r="B141" s="67"/>
      <c r="C141" s="73"/>
      <c r="D141" s="74"/>
      <c r="E141" s="75"/>
      <c r="F141" s="73"/>
      <c r="G141" s="75"/>
      <c r="H141" s="60"/>
      <c r="I141" s="25"/>
      <c r="J141" s="89"/>
      <c r="K141" s="72"/>
      <c r="L141" s="19" t="s">
        <v>52</v>
      </c>
      <c r="M141" s="67"/>
      <c r="N141" s="92"/>
      <c r="O141" s="93"/>
      <c r="P141" s="92"/>
      <c r="Q141" s="93"/>
      <c r="R141" s="92"/>
      <c r="S141" s="95"/>
      <c r="T141" s="33"/>
      <c r="U141" s="79"/>
      <c r="V141" s="82"/>
      <c r="W141" s="82"/>
      <c r="X141" s="82"/>
      <c r="Y141" s="85"/>
      <c r="Z141" s="35"/>
      <c r="AA141" s="30"/>
      <c r="AB141" s="30"/>
      <c r="AC141" s="105"/>
      <c r="AD141" s="106"/>
      <c r="AE141" s="103"/>
    </row>
    <row r="142" spans="1:31" ht="17.100000000000001" customHeight="1" x14ac:dyDescent="0.25">
      <c r="A142" s="50">
        <v>46023</v>
      </c>
      <c r="B142" s="53"/>
      <c r="C142" s="55"/>
      <c r="D142" s="56"/>
      <c r="E142" s="57"/>
      <c r="F142" s="55"/>
      <c r="G142" s="57"/>
      <c r="H142" s="58"/>
      <c r="I142" s="26"/>
      <c r="J142" s="61"/>
      <c r="K142" s="64"/>
      <c r="L142" s="11"/>
      <c r="M142" s="53"/>
      <c r="N142" s="42"/>
      <c r="O142" s="43"/>
      <c r="P142" s="36"/>
      <c r="Q142" s="43"/>
      <c r="R142" s="36"/>
      <c r="S142" s="37"/>
      <c r="T142" s="76">
        <f t="shared" ref="T142" si="42">R142-P142</f>
        <v>0</v>
      </c>
      <c r="U142" s="77"/>
      <c r="V142" s="80"/>
      <c r="W142" s="80"/>
      <c r="X142" s="80"/>
      <c r="Y142" s="83"/>
      <c r="Z142" s="86"/>
      <c r="AA142" s="48"/>
      <c r="AB142" s="48"/>
      <c r="AC142" s="96"/>
      <c r="AD142" s="99"/>
      <c r="AE142" s="101"/>
    </row>
    <row r="143" spans="1:31" ht="17.100000000000001" customHeight="1" x14ac:dyDescent="0.25">
      <c r="A143" s="51"/>
      <c r="B143" s="54"/>
      <c r="C143" s="68"/>
      <c r="D143" s="69"/>
      <c r="E143" s="70"/>
      <c r="F143" s="68"/>
      <c r="G143" s="70"/>
      <c r="H143" s="59"/>
      <c r="I143" s="24"/>
      <c r="J143" s="62"/>
      <c r="K143" s="65"/>
      <c r="L143" s="17"/>
      <c r="M143" s="54"/>
      <c r="N143" s="44"/>
      <c r="O143" s="45"/>
      <c r="P143" s="38"/>
      <c r="Q143" s="45"/>
      <c r="R143" s="38"/>
      <c r="S143" s="39"/>
      <c r="T143" s="32"/>
      <c r="U143" s="78"/>
      <c r="V143" s="81"/>
      <c r="W143" s="81"/>
      <c r="X143" s="81"/>
      <c r="Y143" s="84"/>
      <c r="Z143" s="34"/>
      <c r="AA143" s="29"/>
      <c r="AB143" s="29"/>
      <c r="AC143" s="97"/>
      <c r="AD143" s="100"/>
      <c r="AE143" s="102"/>
    </row>
    <row r="144" spans="1:31" ht="17.100000000000001" customHeight="1" x14ac:dyDescent="0.25">
      <c r="A144" s="51"/>
      <c r="B144" s="66"/>
      <c r="C144" s="68"/>
      <c r="D144" s="69"/>
      <c r="E144" s="70"/>
      <c r="F144" s="68"/>
      <c r="G144" s="70"/>
      <c r="H144" s="59"/>
      <c r="I144" s="27"/>
      <c r="J144" s="63"/>
      <c r="K144" s="71"/>
      <c r="L144" s="18"/>
      <c r="M144" s="66"/>
      <c r="N144" s="46"/>
      <c r="O144" s="47"/>
      <c r="P144" s="40"/>
      <c r="Q144" s="47"/>
      <c r="R144" s="40"/>
      <c r="S144" s="41"/>
      <c r="T144" s="31">
        <f>(P145-P142)+(R142-R145)</f>
        <v>0</v>
      </c>
      <c r="U144" s="78"/>
      <c r="V144" s="81"/>
      <c r="W144" s="81"/>
      <c r="X144" s="81"/>
      <c r="Y144" s="84"/>
      <c r="Z144" s="87"/>
      <c r="AA144" s="49"/>
      <c r="AB144" s="49"/>
      <c r="AC144" s="98"/>
      <c r="AD144" s="104"/>
      <c r="AE144" s="102"/>
    </row>
    <row r="145" spans="1:31" ht="17.100000000000001" customHeight="1" x14ac:dyDescent="0.25">
      <c r="A145" s="51"/>
      <c r="B145" s="54"/>
      <c r="C145" s="68"/>
      <c r="D145" s="69"/>
      <c r="E145" s="70"/>
      <c r="F145" s="68"/>
      <c r="G145" s="70"/>
      <c r="H145" s="59"/>
      <c r="I145" s="23"/>
      <c r="J145" s="88"/>
      <c r="K145" s="65"/>
      <c r="L145" s="18"/>
      <c r="M145" s="54"/>
      <c r="N145" s="90">
        <f>(P142-N142)+(P145-P142)+(R142-R145)</f>
        <v>0</v>
      </c>
      <c r="O145" s="91"/>
      <c r="P145" s="90"/>
      <c r="Q145" s="91"/>
      <c r="R145" s="90"/>
      <c r="S145" s="94"/>
      <c r="T145" s="32"/>
      <c r="U145" s="78"/>
      <c r="V145" s="81"/>
      <c r="W145" s="81"/>
      <c r="X145" s="81"/>
      <c r="Y145" s="84"/>
      <c r="Z145" s="34"/>
      <c r="AA145" s="28"/>
      <c r="AB145" s="28"/>
      <c r="AC145" s="97"/>
      <c r="AD145" s="100"/>
      <c r="AE145" s="102"/>
    </row>
    <row r="146" spans="1:31" ht="17.100000000000001" customHeight="1" x14ac:dyDescent="0.25">
      <c r="A146" s="51"/>
      <c r="B146" s="66"/>
      <c r="C146" s="68"/>
      <c r="D146" s="69"/>
      <c r="E146" s="70"/>
      <c r="F146" s="68"/>
      <c r="G146" s="70"/>
      <c r="H146" s="59"/>
      <c r="I146" s="24"/>
      <c r="J146" s="62"/>
      <c r="K146" s="71" t="s">
        <v>51</v>
      </c>
      <c r="L146" s="16" t="s">
        <v>51</v>
      </c>
      <c r="M146" s="66" t="s">
        <v>51</v>
      </c>
      <c r="N146" s="38"/>
      <c r="O146" s="45"/>
      <c r="P146" s="38"/>
      <c r="Q146" s="45"/>
      <c r="R146" s="38"/>
      <c r="S146" s="39"/>
      <c r="T146" s="31">
        <f t="shared" ref="T146" si="43">R145-P145</f>
        <v>0</v>
      </c>
      <c r="U146" s="78"/>
      <c r="V146" s="81"/>
      <c r="W146" s="81"/>
      <c r="X146" s="81"/>
      <c r="Y146" s="84"/>
      <c r="Z146" s="34"/>
      <c r="AA146" s="29"/>
      <c r="AB146" s="29"/>
      <c r="AC146" s="97"/>
      <c r="AD146" s="104"/>
      <c r="AE146" s="102"/>
    </row>
    <row r="147" spans="1:31" ht="17.100000000000001" customHeight="1" thickBot="1" x14ac:dyDescent="0.3">
      <c r="A147" s="52"/>
      <c r="B147" s="67"/>
      <c r="C147" s="73"/>
      <c r="D147" s="74"/>
      <c r="E147" s="75"/>
      <c r="F147" s="73"/>
      <c r="G147" s="75"/>
      <c r="H147" s="60"/>
      <c r="I147" s="25"/>
      <c r="J147" s="89"/>
      <c r="K147" s="72"/>
      <c r="L147" s="19" t="s">
        <v>52</v>
      </c>
      <c r="M147" s="67"/>
      <c r="N147" s="92"/>
      <c r="O147" s="93"/>
      <c r="P147" s="92"/>
      <c r="Q147" s="93"/>
      <c r="R147" s="92"/>
      <c r="S147" s="95"/>
      <c r="T147" s="33"/>
      <c r="U147" s="79"/>
      <c r="V147" s="82"/>
      <c r="W147" s="82"/>
      <c r="X147" s="82"/>
      <c r="Y147" s="85"/>
      <c r="Z147" s="35"/>
      <c r="AA147" s="30"/>
      <c r="AB147" s="30"/>
      <c r="AC147" s="105"/>
      <c r="AD147" s="106"/>
      <c r="AE147" s="103"/>
    </row>
    <row r="148" spans="1:31" ht="17.100000000000001" customHeight="1" x14ac:dyDescent="0.25">
      <c r="A148" s="50">
        <v>46023</v>
      </c>
      <c r="B148" s="53"/>
      <c r="C148" s="55"/>
      <c r="D148" s="56"/>
      <c r="E148" s="57"/>
      <c r="F148" s="55"/>
      <c r="G148" s="57"/>
      <c r="H148" s="58"/>
      <c r="I148" s="26"/>
      <c r="J148" s="61"/>
      <c r="K148" s="64"/>
      <c r="L148" s="11"/>
      <c r="M148" s="53"/>
      <c r="N148" s="42"/>
      <c r="O148" s="43"/>
      <c r="P148" s="36"/>
      <c r="Q148" s="43"/>
      <c r="R148" s="36"/>
      <c r="S148" s="37"/>
      <c r="T148" s="76">
        <f t="shared" ref="T148" si="44">R148-P148</f>
        <v>0</v>
      </c>
      <c r="U148" s="77"/>
      <c r="V148" s="80"/>
      <c r="W148" s="80"/>
      <c r="X148" s="80"/>
      <c r="Y148" s="83"/>
      <c r="Z148" s="86"/>
      <c r="AA148" s="48"/>
      <c r="AB148" s="48"/>
      <c r="AC148" s="96"/>
      <c r="AD148" s="99"/>
      <c r="AE148" s="101"/>
    </row>
    <row r="149" spans="1:31" ht="17.100000000000001" customHeight="1" x14ac:dyDescent="0.25">
      <c r="A149" s="51"/>
      <c r="B149" s="54"/>
      <c r="C149" s="68"/>
      <c r="D149" s="69"/>
      <c r="E149" s="70"/>
      <c r="F149" s="68"/>
      <c r="G149" s="70"/>
      <c r="H149" s="59"/>
      <c r="I149" s="24"/>
      <c r="J149" s="62"/>
      <c r="K149" s="65"/>
      <c r="L149" s="17"/>
      <c r="M149" s="54"/>
      <c r="N149" s="44"/>
      <c r="O149" s="45"/>
      <c r="P149" s="38"/>
      <c r="Q149" s="45"/>
      <c r="R149" s="38"/>
      <c r="S149" s="39"/>
      <c r="T149" s="32"/>
      <c r="U149" s="78"/>
      <c r="V149" s="81"/>
      <c r="W149" s="81"/>
      <c r="X149" s="81"/>
      <c r="Y149" s="84"/>
      <c r="Z149" s="34"/>
      <c r="AA149" s="29"/>
      <c r="AB149" s="29"/>
      <c r="AC149" s="97"/>
      <c r="AD149" s="100"/>
      <c r="AE149" s="102"/>
    </row>
    <row r="150" spans="1:31" ht="17.100000000000001" customHeight="1" x14ac:dyDescent="0.25">
      <c r="A150" s="51"/>
      <c r="B150" s="66"/>
      <c r="C150" s="68"/>
      <c r="D150" s="69"/>
      <c r="E150" s="70"/>
      <c r="F150" s="68"/>
      <c r="G150" s="70"/>
      <c r="H150" s="59"/>
      <c r="I150" s="27"/>
      <c r="J150" s="63"/>
      <c r="K150" s="71"/>
      <c r="L150" s="18"/>
      <c r="M150" s="66"/>
      <c r="N150" s="46"/>
      <c r="O150" s="47"/>
      <c r="P150" s="40"/>
      <c r="Q150" s="47"/>
      <c r="R150" s="40"/>
      <c r="S150" s="41"/>
      <c r="T150" s="31">
        <f>(P151-P148)+(R148-R151)</f>
        <v>0</v>
      </c>
      <c r="U150" s="78"/>
      <c r="V150" s="81"/>
      <c r="W150" s="81"/>
      <c r="X150" s="81"/>
      <c r="Y150" s="84"/>
      <c r="Z150" s="87"/>
      <c r="AA150" s="49"/>
      <c r="AB150" s="49"/>
      <c r="AC150" s="98"/>
      <c r="AD150" s="104"/>
      <c r="AE150" s="102"/>
    </row>
    <row r="151" spans="1:31" ht="17.100000000000001" customHeight="1" x14ac:dyDescent="0.25">
      <c r="A151" s="51"/>
      <c r="B151" s="54"/>
      <c r="C151" s="68"/>
      <c r="D151" s="69"/>
      <c r="E151" s="70"/>
      <c r="F151" s="68"/>
      <c r="G151" s="70"/>
      <c r="H151" s="59"/>
      <c r="I151" s="23"/>
      <c r="J151" s="88"/>
      <c r="K151" s="65"/>
      <c r="L151" s="18"/>
      <c r="M151" s="54"/>
      <c r="N151" s="90">
        <f>(P148-N148)+(P151-P148)+(R148-R151)</f>
        <v>0</v>
      </c>
      <c r="O151" s="91"/>
      <c r="P151" s="90"/>
      <c r="Q151" s="91"/>
      <c r="R151" s="90"/>
      <c r="S151" s="94"/>
      <c r="T151" s="32"/>
      <c r="U151" s="78"/>
      <c r="V151" s="81"/>
      <c r="W151" s="81"/>
      <c r="X151" s="81"/>
      <c r="Y151" s="84"/>
      <c r="Z151" s="34"/>
      <c r="AA151" s="28"/>
      <c r="AB151" s="28"/>
      <c r="AC151" s="97"/>
      <c r="AD151" s="100"/>
      <c r="AE151" s="102"/>
    </row>
    <row r="152" spans="1:31" ht="17.100000000000001" customHeight="1" x14ac:dyDescent="0.25">
      <c r="A152" s="51"/>
      <c r="B152" s="66"/>
      <c r="C152" s="68"/>
      <c r="D152" s="69"/>
      <c r="E152" s="70"/>
      <c r="F152" s="68"/>
      <c r="G152" s="70"/>
      <c r="H152" s="59"/>
      <c r="I152" s="24"/>
      <c r="J152" s="62"/>
      <c r="K152" s="71" t="s">
        <v>51</v>
      </c>
      <c r="L152" s="16" t="s">
        <v>51</v>
      </c>
      <c r="M152" s="66" t="s">
        <v>51</v>
      </c>
      <c r="N152" s="38"/>
      <c r="O152" s="45"/>
      <c r="P152" s="38"/>
      <c r="Q152" s="45"/>
      <c r="R152" s="38"/>
      <c r="S152" s="39"/>
      <c r="T152" s="31">
        <f t="shared" ref="T152" si="45">R151-P151</f>
        <v>0</v>
      </c>
      <c r="U152" s="78"/>
      <c r="V152" s="81"/>
      <c r="W152" s="81"/>
      <c r="X152" s="81"/>
      <c r="Y152" s="84"/>
      <c r="Z152" s="34"/>
      <c r="AA152" s="29"/>
      <c r="AB152" s="29"/>
      <c r="AC152" s="97"/>
      <c r="AD152" s="104"/>
      <c r="AE152" s="102"/>
    </row>
    <row r="153" spans="1:31" ht="17.100000000000001" customHeight="1" thickBot="1" x14ac:dyDescent="0.3">
      <c r="A153" s="52"/>
      <c r="B153" s="67"/>
      <c r="C153" s="73"/>
      <c r="D153" s="74"/>
      <c r="E153" s="75"/>
      <c r="F153" s="73"/>
      <c r="G153" s="75"/>
      <c r="H153" s="60"/>
      <c r="I153" s="25"/>
      <c r="J153" s="89"/>
      <c r="K153" s="72"/>
      <c r="L153" s="19" t="s">
        <v>52</v>
      </c>
      <c r="M153" s="67"/>
      <c r="N153" s="92"/>
      <c r="O153" s="93"/>
      <c r="P153" s="92"/>
      <c r="Q153" s="93"/>
      <c r="R153" s="92"/>
      <c r="S153" s="95"/>
      <c r="T153" s="33"/>
      <c r="U153" s="79"/>
      <c r="V153" s="82"/>
      <c r="W153" s="82"/>
      <c r="X153" s="82"/>
      <c r="Y153" s="85"/>
      <c r="Z153" s="35"/>
      <c r="AA153" s="30"/>
      <c r="AB153" s="30"/>
      <c r="AC153" s="105"/>
      <c r="AD153" s="106"/>
      <c r="AE153" s="103"/>
    </row>
    <row r="154" spans="1:31" ht="17.100000000000001" customHeight="1" x14ac:dyDescent="0.25">
      <c r="A154" s="50">
        <v>46023</v>
      </c>
      <c r="B154" s="53"/>
      <c r="C154" s="55"/>
      <c r="D154" s="56"/>
      <c r="E154" s="57"/>
      <c r="F154" s="55"/>
      <c r="G154" s="57"/>
      <c r="H154" s="58"/>
      <c r="I154" s="26"/>
      <c r="J154" s="61"/>
      <c r="K154" s="64"/>
      <c r="L154" s="11"/>
      <c r="M154" s="53"/>
      <c r="N154" s="42"/>
      <c r="O154" s="43"/>
      <c r="P154" s="36"/>
      <c r="Q154" s="43"/>
      <c r="R154" s="36"/>
      <c r="S154" s="37"/>
      <c r="T154" s="76">
        <f t="shared" ref="T154" si="46">R154-P154</f>
        <v>0</v>
      </c>
      <c r="U154" s="77"/>
      <c r="V154" s="80"/>
      <c r="W154" s="80"/>
      <c r="X154" s="80"/>
      <c r="Y154" s="83"/>
      <c r="Z154" s="86"/>
      <c r="AA154" s="48"/>
      <c r="AB154" s="48"/>
      <c r="AC154" s="96"/>
      <c r="AD154" s="99"/>
      <c r="AE154" s="101"/>
    </row>
    <row r="155" spans="1:31" ht="17.100000000000001" customHeight="1" x14ac:dyDescent="0.25">
      <c r="A155" s="51"/>
      <c r="B155" s="54"/>
      <c r="C155" s="68"/>
      <c r="D155" s="69"/>
      <c r="E155" s="70"/>
      <c r="F155" s="68"/>
      <c r="G155" s="70"/>
      <c r="H155" s="59"/>
      <c r="I155" s="24"/>
      <c r="J155" s="62"/>
      <c r="K155" s="65"/>
      <c r="L155" s="17"/>
      <c r="M155" s="54"/>
      <c r="N155" s="44"/>
      <c r="O155" s="45"/>
      <c r="P155" s="38"/>
      <c r="Q155" s="45"/>
      <c r="R155" s="38"/>
      <c r="S155" s="39"/>
      <c r="T155" s="32"/>
      <c r="U155" s="78"/>
      <c r="V155" s="81"/>
      <c r="W155" s="81"/>
      <c r="X155" s="81"/>
      <c r="Y155" s="84"/>
      <c r="Z155" s="34"/>
      <c r="AA155" s="29"/>
      <c r="AB155" s="29"/>
      <c r="AC155" s="97"/>
      <c r="AD155" s="100"/>
      <c r="AE155" s="102"/>
    </row>
    <row r="156" spans="1:31" ht="17.100000000000001" customHeight="1" x14ac:dyDescent="0.25">
      <c r="A156" s="51"/>
      <c r="B156" s="66"/>
      <c r="C156" s="68"/>
      <c r="D156" s="69"/>
      <c r="E156" s="70"/>
      <c r="F156" s="68"/>
      <c r="G156" s="70"/>
      <c r="H156" s="59"/>
      <c r="I156" s="27"/>
      <c r="J156" s="63"/>
      <c r="K156" s="71"/>
      <c r="L156" s="18"/>
      <c r="M156" s="66"/>
      <c r="N156" s="46"/>
      <c r="O156" s="47"/>
      <c r="P156" s="40"/>
      <c r="Q156" s="47"/>
      <c r="R156" s="40"/>
      <c r="S156" s="41"/>
      <c r="T156" s="31">
        <f>(P157-P154)+(R154-R157)</f>
        <v>0</v>
      </c>
      <c r="U156" s="78"/>
      <c r="V156" s="81"/>
      <c r="W156" s="81"/>
      <c r="X156" s="81"/>
      <c r="Y156" s="84"/>
      <c r="Z156" s="87"/>
      <c r="AA156" s="49"/>
      <c r="AB156" s="49"/>
      <c r="AC156" s="98"/>
      <c r="AD156" s="104"/>
      <c r="AE156" s="102"/>
    </row>
    <row r="157" spans="1:31" ht="17.100000000000001" customHeight="1" x14ac:dyDescent="0.25">
      <c r="A157" s="51"/>
      <c r="B157" s="54"/>
      <c r="C157" s="68"/>
      <c r="D157" s="69"/>
      <c r="E157" s="70"/>
      <c r="F157" s="68"/>
      <c r="G157" s="70"/>
      <c r="H157" s="59"/>
      <c r="I157" s="23"/>
      <c r="J157" s="88"/>
      <c r="K157" s="65"/>
      <c r="L157" s="18"/>
      <c r="M157" s="54"/>
      <c r="N157" s="90">
        <f>(P154-N154)+(P157-P154)+(R154-R157)</f>
        <v>0</v>
      </c>
      <c r="O157" s="91"/>
      <c r="P157" s="90"/>
      <c r="Q157" s="91"/>
      <c r="R157" s="90"/>
      <c r="S157" s="94"/>
      <c r="T157" s="32"/>
      <c r="U157" s="78"/>
      <c r="V157" s="81"/>
      <c r="W157" s="81"/>
      <c r="X157" s="81"/>
      <c r="Y157" s="84"/>
      <c r="Z157" s="34"/>
      <c r="AA157" s="28"/>
      <c r="AB157" s="28"/>
      <c r="AC157" s="97"/>
      <c r="AD157" s="100"/>
      <c r="AE157" s="102"/>
    </row>
    <row r="158" spans="1:31" ht="17.100000000000001" customHeight="1" x14ac:dyDescent="0.25">
      <c r="A158" s="51"/>
      <c r="B158" s="66"/>
      <c r="C158" s="68"/>
      <c r="D158" s="69"/>
      <c r="E158" s="70"/>
      <c r="F158" s="68"/>
      <c r="G158" s="70"/>
      <c r="H158" s="59"/>
      <c r="I158" s="24"/>
      <c r="J158" s="62"/>
      <c r="K158" s="71" t="s">
        <v>51</v>
      </c>
      <c r="L158" s="16" t="s">
        <v>51</v>
      </c>
      <c r="M158" s="66" t="s">
        <v>51</v>
      </c>
      <c r="N158" s="38"/>
      <c r="O158" s="45"/>
      <c r="P158" s="38"/>
      <c r="Q158" s="45"/>
      <c r="R158" s="38"/>
      <c r="S158" s="39"/>
      <c r="T158" s="31">
        <f t="shared" ref="T158" si="47">R157-P157</f>
        <v>0</v>
      </c>
      <c r="U158" s="78"/>
      <c r="V158" s="81"/>
      <c r="W158" s="81"/>
      <c r="X158" s="81"/>
      <c r="Y158" s="84"/>
      <c r="Z158" s="34"/>
      <c r="AA158" s="29"/>
      <c r="AB158" s="29"/>
      <c r="AC158" s="97"/>
      <c r="AD158" s="104"/>
      <c r="AE158" s="102"/>
    </row>
    <row r="159" spans="1:31" ht="17.100000000000001" customHeight="1" thickBot="1" x14ac:dyDescent="0.3">
      <c r="A159" s="52"/>
      <c r="B159" s="67"/>
      <c r="C159" s="73"/>
      <c r="D159" s="74"/>
      <c r="E159" s="75"/>
      <c r="F159" s="73"/>
      <c r="G159" s="75"/>
      <c r="H159" s="60"/>
      <c r="I159" s="25"/>
      <c r="J159" s="89"/>
      <c r="K159" s="72"/>
      <c r="L159" s="19" t="s">
        <v>52</v>
      </c>
      <c r="M159" s="67"/>
      <c r="N159" s="92"/>
      <c r="O159" s="93"/>
      <c r="P159" s="92"/>
      <c r="Q159" s="93"/>
      <c r="R159" s="92"/>
      <c r="S159" s="95"/>
      <c r="T159" s="33"/>
      <c r="U159" s="79"/>
      <c r="V159" s="82"/>
      <c r="W159" s="82"/>
      <c r="X159" s="82"/>
      <c r="Y159" s="85"/>
      <c r="Z159" s="35"/>
      <c r="AA159" s="30"/>
      <c r="AB159" s="30"/>
      <c r="AC159" s="105"/>
      <c r="AD159" s="106"/>
      <c r="AE159" s="103"/>
    </row>
    <row r="161" spans="1:31" ht="17.100000000000001" customHeight="1" thickBot="1" x14ac:dyDescent="0.3"/>
    <row r="162" spans="1:31" ht="17.100000000000001" customHeight="1" x14ac:dyDescent="0.25">
      <c r="A162" s="50">
        <v>46023</v>
      </c>
      <c r="B162" s="53"/>
      <c r="C162" s="55"/>
      <c r="D162" s="56"/>
      <c r="E162" s="57"/>
      <c r="F162" s="55"/>
      <c r="G162" s="57"/>
      <c r="H162" s="58"/>
      <c r="I162" s="26"/>
      <c r="J162" s="61"/>
      <c r="K162" s="64"/>
      <c r="L162" s="11"/>
      <c r="M162" s="53"/>
      <c r="N162" s="42"/>
      <c r="O162" s="43"/>
      <c r="P162" s="36"/>
      <c r="Q162" s="43"/>
      <c r="R162" s="36"/>
      <c r="S162" s="37"/>
      <c r="T162" s="76">
        <f t="shared" ref="T162" si="48">R162-P162</f>
        <v>0</v>
      </c>
      <c r="U162" s="77"/>
      <c r="V162" s="80"/>
      <c r="W162" s="80"/>
      <c r="X162" s="80"/>
      <c r="Y162" s="83"/>
      <c r="Z162" s="86"/>
      <c r="AA162" s="48"/>
      <c r="AB162" s="48"/>
      <c r="AC162" s="96"/>
      <c r="AD162" s="99"/>
      <c r="AE162" s="101"/>
    </row>
    <row r="163" spans="1:31" ht="17.100000000000001" customHeight="1" x14ac:dyDescent="0.25">
      <c r="A163" s="51"/>
      <c r="B163" s="54"/>
      <c r="C163" s="68"/>
      <c r="D163" s="69"/>
      <c r="E163" s="70"/>
      <c r="F163" s="68"/>
      <c r="G163" s="70"/>
      <c r="H163" s="59"/>
      <c r="I163" s="24"/>
      <c r="J163" s="62"/>
      <c r="K163" s="65"/>
      <c r="L163" s="17"/>
      <c r="M163" s="54"/>
      <c r="N163" s="44"/>
      <c r="O163" s="45"/>
      <c r="P163" s="38"/>
      <c r="Q163" s="45"/>
      <c r="R163" s="38"/>
      <c r="S163" s="39"/>
      <c r="T163" s="32"/>
      <c r="U163" s="78"/>
      <c r="V163" s="81"/>
      <c r="W163" s="81"/>
      <c r="X163" s="81"/>
      <c r="Y163" s="84"/>
      <c r="Z163" s="34"/>
      <c r="AA163" s="29"/>
      <c r="AB163" s="29"/>
      <c r="AC163" s="97"/>
      <c r="AD163" s="100"/>
      <c r="AE163" s="102"/>
    </row>
    <row r="164" spans="1:31" ht="17.100000000000001" customHeight="1" x14ac:dyDescent="0.25">
      <c r="A164" s="51"/>
      <c r="B164" s="66"/>
      <c r="C164" s="68"/>
      <c r="D164" s="69"/>
      <c r="E164" s="70"/>
      <c r="F164" s="68"/>
      <c r="G164" s="70"/>
      <c r="H164" s="59"/>
      <c r="I164" s="27"/>
      <c r="J164" s="63"/>
      <c r="K164" s="71"/>
      <c r="L164" s="18"/>
      <c r="M164" s="66"/>
      <c r="N164" s="46"/>
      <c r="O164" s="47"/>
      <c r="P164" s="40"/>
      <c r="Q164" s="47"/>
      <c r="R164" s="40"/>
      <c r="S164" s="41"/>
      <c r="T164" s="31">
        <f>(P165-P162)+(R162-R165)</f>
        <v>0</v>
      </c>
      <c r="U164" s="78"/>
      <c r="V164" s="81"/>
      <c r="W164" s="81"/>
      <c r="X164" s="81"/>
      <c r="Y164" s="84"/>
      <c r="Z164" s="87"/>
      <c r="AA164" s="49"/>
      <c r="AB164" s="49"/>
      <c r="AC164" s="98"/>
      <c r="AD164" s="104"/>
      <c r="AE164" s="102"/>
    </row>
    <row r="165" spans="1:31" ht="17.100000000000001" customHeight="1" x14ac:dyDescent="0.25">
      <c r="A165" s="51"/>
      <c r="B165" s="54"/>
      <c r="C165" s="68"/>
      <c r="D165" s="69"/>
      <c r="E165" s="70"/>
      <c r="F165" s="68"/>
      <c r="G165" s="70"/>
      <c r="H165" s="59"/>
      <c r="I165" s="23"/>
      <c r="J165" s="88"/>
      <c r="K165" s="65"/>
      <c r="L165" s="18"/>
      <c r="M165" s="54"/>
      <c r="N165" s="90">
        <f>(P162-N162)+(P165-P162)+(R162-R165)</f>
        <v>0</v>
      </c>
      <c r="O165" s="91"/>
      <c r="P165" s="90"/>
      <c r="Q165" s="91"/>
      <c r="R165" s="90"/>
      <c r="S165" s="94"/>
      <c r="T165" s="32"/>
      <c r="U165" s="78"/>
      <c r="V165" s="81"/>
      <c r="W165" s="81"/>
      <c r="X165" s="81"/>
      <c r="Y165" s="84"/>
      <c r="Z165" s="34"/>
      <c r="AA165" s="28"/>
      <c r="AB165" s="28"/>
      <c r="AC165" s="97"/>
      <c r="AD165" s="100"/>
      <c r="AE165" s="102"/>
    </row>
    <row r="166" spans="1:31" ht="17.100000000000001" customHeight="1" x14ac:dyDescent="0.25">
      <c r="A166" s="51"/>
      <c r="B166" s="66"/>
      <c r="C166" s="68"/>
      <c r="D166" s="69"/>
      <c r="E166" s="70"/>
      <c r="F166" s="68"/>
      <c r="G166" s="70"/>
      <c r="H166" s="59"/>
      <c r="I166" s="24"/>
      <c r="J166" s="62"/>
      <c r="K166" s="71" t="s">
        <v>51</v>
      </c>
      <c r="L166" s="16" t="s">
        <v>51</v>
      </c>
      <c r="M166" s="66" t="s">
        <v>51</v>
      </c>
      <c r="N166" s="38"/>
      <c r="O166" s="45"/>
      <c r="P166" s="38"/>
      <c r="Q166" s="45"/>
      <c r="R166" s="38"/>
      <c r="S166" s="39"/>
      <c r="T166" s="31">
        <f t="shared" ref="T166" si="49">R165-P165</f>
        <v>0</v>
      </c>
      <c r="U166" s="78"/>
      <c r="V166" s="81"/>
      <c r="W166" s="81"/>
      <c r="X166" s="81"/>
      <c r="Y166" s="84"/>
      <c r="Z166" s="34"/>
      <c r="AA166" s="29"/>
      <c r="AB166" s="29"/>
      <c r="AC166" s="97"/>
      <c r="AD166" s="104"/>
      <c r="AE166" s="102"/>
    </row>
    <row r="167" spans="1:31" ht="17.100000000000001" customHeight="1" thickBot="1" x14ac:dyDescent="0.3">
      <c r="A167" s="52"/>
      <c r="B167" s="67"/>
      <c r="C167" s="73"/>
      <c r="D167" s="74"/>
      <c r="E167" s="75"/>
      <c r="F167" s="73"/>
      <c r="G167" s="75"/>
      <c r="H167" s="60"/>
      <c r="I167" s="25"/>
      <c r="J167" s="89"/>
      <c r="K167" s="72"/>
      <c r="L167" s="19" t="s">
        <v>52</v>
      </c>
      <c r="M167" s="67"/>
      <c r="N167" s="92"/>
      <c r="O167" s="93"/>
      <c r="P167" s="92"/>
      <c r="Q167" s="93"/>
      <c r="R167" s="92"/>
      <c r="S167" s="95"/>
      <c r="T167" s="33"/>
      <c r="U167" s="79"/>
      <c r="V167" s="82"/>
      <c r="W167" s="82"/>
      <c r="X167" s="82"/>
      <c r="Y167" s="85"/>
      <c r="Z167" s="35"/>
      <c r="AA167" s="30"/>
      <c r="AB167" s="30"/>
      <c r="AC167" s="105"/>
      <c r="AD167" s="106"/>
      <c r="AE167" s="103"/>
    </row>
    <row r="168" spans="1:31" ht="17.100000000000001" customHeight="1" x14ac:dyDescent="0.25">
      <c r="A168" s="50">
        <v>46023</v>
      </c>
      <c r="B168" s="53"/>
      <c r="C168" s="55"/>
      <c r="D168" s="56"/>
      <c r="E168" s="57"/>
      <c r="F168" s="55"/>
      <c r="G168" s="57"/>
      <c r="H168" s="58"/>
      <c r="I168" s="26"/>
      <c r="J168" s="61"/>
      <c r="K168" s="64"/>
      <c r="L168" s="11"/>
      <c r="M168" s="53"/>
      <c r="N168" s="42"/>
      <c r="O168" s="43"/>
      <c r="P168" s="36"/>
      <c r="Q168" s="43"/>
      <c r="R168" s="36"/>
      <c r="S168" s="37"/>
      <c r="T168" s="76">
        <f t="shared" ref="T168" si="50">R168-P168</f>
        <v>0</v>
      </c>
      <c r="U168" s="77"/>
      <c r="V168" s="80"/>
      <c r="W168" s="80"/>
      <c r="X168" s="80"/>
      <c r="Y168" s="83"/>
      <c r="Z168" s="86"/>
      <c r="AA168" s="48"/>
      <c r="AB168" s="48"/>
      <c r="AC168" s="96"/>
      <c r="AD168" s="99"/>
      <c r="AE168" s="101"/>
    </row>
    <row r="169" spans="1:31" ht="17.100000000000001" customHeight="1" x14ac:dyDescent="0.25">
      <c r="A169" s="51"/>
      <c r="B169" s="54"/>
      <c r="C169" s="68"/>
      <c r="D169" s="69"/>
      <c r="E169" s="70"/>
      <c r="F169" s="68"/>
      <c r="G169" s="70"/>
      <c r="H169" s="59"/>
      <c r="I169" s="24"/>
      <c r="J169" s="62"/>
      <c r="K169" s="65"/>
      <c r="L169" s="17"/>
      <c r="M169" s="54"/>
      <c r="N169" s="44"/>
      <c r="O169" s="45"/>
      <c r="P169" s="38"/>
      <c r="Q169" s="45"/>
      <c r="R169" s="38"/>
      <c r="S169" s="39"/>
      <c r="T169" s="32"/>
      <c r="U169" s="78"/>
      <c r="V169" s="81"/>
      <c r="W169" s="81"/>
      <c r="X169" s="81"/>
      <c r="Y169" s="84"/>
      <c r="Z169" s="34"/>
      <c r="AA169" s="29"/>
      <c r="AB169" s="29"/>
      <c r="AC169" s="97"/>
      <c r="AD169" s="100"/>
      <c r="AE169" s="102"/>
    </row>
    <row r="170" spans="1:31" ht="17.100000000000001" customHeight="1" x14ac:dyDescent="0.25">
      <c r="A170" s="51"/>
      <c r="B170" s="66"/>
      <c r="C170" s="68"/>
      <c r="D170" s="69"/>
      <c r="E170" s="70"/>
      <c r="F170" s="68"/>
      <c r="G170" s="70"/>
      <c r="H170" s="59"/>
      <c r="I170" s="27"/>
      <c r="J170" s="63"/>
      <c r="K170" s="71"/>
      <c r="L170" s="18"/>
      <c r="M170" s="66"/>
      <c r="N170" s="46"/>
      <c r="O170" s="47"/>
      <c r="P170" s="40"/>
      <c r="Q170" s="47"/>
      <c r="R170" s="40"/>
      <c r="S170" s="41"/>
      <c r="T170" s="31">
        <f>(P171-P168)+(R168-R171)</f>
        <v>0</v>
      </c>
      <c r="U170" s="78"/>
      <c r="V170" s="81"/>
      <c r="W170" s="81"/>
      <c r="X170" s="81"/>
      <c r="Y170" s="84"/>
      <c r="Z170" s="87"/>
      <c r="AA170" s="49"/>
      <c r="AB170" s="49"/>
      <c r="AC170" s="98"/>
      <c r="AD170" s="104"/>
      <c r="AE170" s="102"/>
    </row>
    <row r="171" spans="1:31" ht="17.100000000000001" customHeight="1" x14ac:dyDescent="0.25">
      <c r="A171" s="51"/>
      <c r="B171" s="54"/>
      <c r="C171" s="68"/>
      <c r="D171" s="69"/>
      <c r="E171" s="70"/>
      <c r="F171" s="68"/>
      <c r="G171" s="70"/>
      <c r="H171" s="59"/>
      <c r="I171" s="23"/>
      <c r="J171" s="88"/>
      <c r="K171" s="65"/>
      <c r="L171" s="18"/>
      <c r="M171" s="54"/>
      <c r="N171" s="90">
        <f>(P168-N168)+(P171-P168)+(R168-R171)</f>
        <v>0</v>
      </c>
      <c r="O171" s="91"/>
      <c r="P171" s="90"/>
      <c r="Q171" s="91"/>
      <c r="R171" s="90"/>
      <c r="S171" s="94"/>
      <c r="T171" s="32"/>
      <c r="U171" s="78"/>
      <c r="V171" s="81"/>
      <c r="W171" s="81"/>
      <c r="X171" s="81"/>
      <c r="Y171" s="84"/>
      <c r="Z171" s="34"/>
      <c r="AA171" s="28"/>
      <c r="AB171" s="28"/>
      <c r="AC171" s="97"/>
      <c r="AD171" s="100"/>
      <c r="AE171" s="102"/>
    </row>
    <row r="172" spans="1:31" ht="17.100000000000001" customHeight="1" x14ac:dyDescent="0.25">
      <c r="A172" s="51"/>
      <c r="B172" s="66"/>
      <c r="C172" s="68"/>
      <c r="D172" s="69"/>
      <c r="E172" s="70"/>
      <c r="F172" s="68"/>
      <c r="G172" s="70"/>
      <c r="H172" s="59"/>
      <c r="I172" s="24"/>
      <c r="J172" s="62"/>
      <c r="K172" s="71" t="s">
        <v>51</v>
      </c>
      <c r="L172" s="16" t="s">
        <v>51</v>
      </c>
      <c r="M172" s="66" t="s">
        <v>51</v>
      </c>
      <c r="N172" s="38"/>
      <c r="O172" s="45"/>
      <c r="P172" s="38"/>
      <c r="Q172" s="45"/>
      <c r="R172" s="38"/>
      <c r="S172" s="39"/>
      <c r="T172" s="31">
        <f t="shared" ref="T172" si="51">R171-P171</f>
        <v>0</v>
      </c>
      <c r="U172" s="78"/>
      <c r="V172" s="81"/>
      <c r="W172" s="81"/>
      <c r="X172" s="81"/>
      <c r="Y172" s="84"/>
      <c r="Z172" s="34"/>
      <c r="AA172" s="29"/>
      <c r="AB172" s="29"/>
      <c r="AC172" s="97"/>
      <c r="AD172" s="104"/>
      <c r="AE172" s="102"/>
    </row>
    <row r="173" spans="1:31" ht="17.100000000000001" customHeight="1" thickBot="1" x14ac:dyDescent="0.3">
      <c r="A173" s="52"/>
      <c r="B173" s="67"/>
      <c r="C173" s="73"/>
      <c r="D173" s="74"/>
      <c r="E173" s="75"/>
      <c r="F173" s="73"/>
      <c r="G173" s="75"/>
      <c r="H173" s="60"/>
      <c r="I173" s="25"/>
      <c r="J173" s="89"/>
      <c r="K173" s="72"/>
      <c r="L173" s="19" t="s">
        <v>52</v>
      </c>
      <c r="M173" s="67"/>
      <c r="N173" s="92"/>
      <c r="O173" s="93"/>
      <c r="P173" s="92"/>
      <c r="Q173" s="93"/>
      <c r="R173" s="92"/>
      <c r="S173" s="95"/>
      <c r="T173" s="33"/>
      <c r="U173" s="79"/>
      <c r="V173" s="82"/>
      <c r="W173" s="82"/>
      <c r="X173" s="82"/>
      <c r="Y173" s="85"/>
      <c r="Z173" s="35"/>
      <c r="AA173" s="30"/>
      <c r="AB173" s="30"/>
      <c r="AC173" s="105"/>
      <c r="AD173" s="106"/>
      <c r="AE173" s="103"/>
    </row>
    <row r="174" spans="1:31" ht="17.100000000000001" customHeight="1" x14ac:dyDescent="0.25">
      <c r="A174" s="50">
        <v>46023</v>
      </c>
      <c r="B174" s="53"/>
      <c r="C174" s="55"/>
      <c r="D174" s="56"/>
      <c r="E174" s="57"/>
      <c r="F174" s="55"/>
      <c r="G174" s="57"/>
      <c r="H174" s="58"/>
      <c r="I174" s="26"/>
      <c r="J174" s="61"/>
      <c r="K174" s="64"/>
      <c r="L174" s="11"/>
      <c r="M174" s="53"/>
      <c r="N174" s="42"/>
      <c r="O174" s="43"/>
      <c r="P174" s="36"/>
      <c r="Q174" s="43"/>
      <c r="R174" s="36"/>
      <c r="S174" s="37"/>
      <c r="T174" s="76">
        <f t="shared" ref="T174" si="52">R174-P174</f>
        <v>0</v>
      </c>
      <c r="U174" s="77"/>
      <c r="V174" s="80"/>
      <c r="W174" s="80"/>
      <c r="X174" s="80"/>
      <c r="Y174" s="83"/>
      <c r="Z174" s="86"/>
      <c r="AA174" s="48"/>
      <c r="AB174" s="48"/>
      <c r="AC174" s="96"/>
      <c r="AD174" s="99"/>
      <c r="AE174" s="101"/>
    </row>
    <row r="175" spans="1:31" ht="17.100000000000001" customHeight="1" x14ac:dyDescent="0.25">
      <c r="A175" s="51"/>
      <c r="B175" s="54"/>
      <c r="C175" s="68"/>
      <c r="D175" s="69"/>
      <c r="E175" s="70"/>
      <c r="F175" s="68"/>
      <c r="G175" s="70"/>
      <c r="H175" s="59"/>
      <c r="I175" s="24"/>
      <c r="J175" s="62"/>
      <c r="K175" s="65"/>
      <c r="L175" s="17"/>
      <c r="M175" s="54"/>
      <c r="N175" s="44"/>
      <c r="O175" s="45"/>
      <c r="P175" s="38"/>
      <c r="Q175" s="45"/>
      <c r="R175" s="38"/>
      <c r="S175" s="39"/>
      <c r="T175" s="32"/>
      <c r="U175" s="78"/>
      <c r="V175" s="81"/>
      <c r="W175" s="81"/>
      <c r="X175" s="81"/>
      <c r="Y175" s="84"/>
      <c r="Z175" s="34"/>
      <c r="AA175" s="29"/>
      <c r="AB175" s="29"/>
      <c r="AC175" s="97"/>
      <c r="AD175" s="100"/>
      <c r="AE175" s="102"/>
    </row>
    <row r="176" spans="1:31" ht="17.100000000000001" customHeight="1" x14ac:dyDescent="0.25">
      <c r="A176" s="51"/>
      <c r="B176" s="66"/>
      <c r="C176" s="68"/>
      <c r="D176" s="69"/>
      <c r="E176" s="70"/>
      <c r="F176" s="68"/>
      <c r="G176" s="70"/>
      <c r="H176" s="59"/>
      <c r="I176" s="27"/>
      <c r="J176" s="63"/>
      <c r="K176" s="71"/>
      <c r="L176" s="18"/>
      <c r="M176" s="66"/>
      <c r="N176" s="46"/>
      <c r="O176" s="47"/>
      <c r="P176" s="40"/>
      <c r="Q176" s="47"/>
      <c r="R176" s="40"/>
      <c r="S176" s="41"/>
      <c r="T176" s="31">
        <f>(P177-P174)+(R174-R177)</f>
        <v>0</v>
      </c>
      <c r="U176" s="78"/>
      <c r="V176" s="81"/>
      <c r="W176" s="81"/>
      <c r="X176" s="81"/>
      <c r="Y176" s="84"/>
      <c r="Z176" s="87"/>
      <c r="AA176" s="49"/>
      <c r="AB176" s="49"/>
      <c r="AC176" s="98"/>
      <c r="AD176" s="104"/>
      <c r="AE176" s="102"/>
    </row>
    <row r="177" spans="1:31" ht="17.100000000000001" customHeight="1" x14ac:dyDescent="0.25">
      <c r="A177" s="51"/>
      <c r="B177" s="54"/>
      <c r="C177" s="68"/>
      <c r="D177" s="69"/>
      <c r="E177" s="70"/>
      <c r="F177" s="68"/>
      <c r="G177" s="70"/>
      <c r="H177" s="59"/>
      <c r="I177" s="23"/>
      <c r="J177" s="88"/>
      <c r="K177" s="65"/>
      <c r="L177" s="18"/>
      <c r="M177" s="54"/>
      <c r="N177" s="90">
        <f>(P174-N174)+(P177-P174)+(R174-R177)</f>
        <v>0</v>
      </c>
      <c r="O177" s="91"/>
      <c r="P177" s="90"/>
      <c r="Q177" s="91"/>
      <c r="R177" s="90"/>
      <c r="S177" s="94"/>
      <c r="T177" s="32"/>
      <c r="U177" s="78"/>
      <c r="V177" s="81"/>
      <c r="W177" s="81"/>
      <c r="X177" s="81"/>
      <c r="Y177" s="84"/>
      <c r="Z177" s="34"/>
      <c r="AA177" s="28"/>
      <c r="AB177" s="28"/>
      <c r="AC177" s="97"/>
      <c r="AD177" s="100"/>
      <c r="AE177" s="102"/>
    </row>
    <row r="178" spans="1:31" ht="17.100000000000001" customHeight="1" x14ac:dyDescent="0.25">
      <c r="A178" s="51"/>
      <c r="B178" s="66"/>
      <c r="C178" s="68"/>
      <c r="D178" s="69"/>
      <c r="E178" s="70"/>
      <c r="F178" s="68"/>
      <c r="G178" s="70"/>
      <c r="H178" s="59"/>
      <c r="I178" s="24"/>
      <c r="J178" s="62"/>
      <c r="K178" s="71" t="s">
        <v>51</v>
      </c>
      <c r="L178" s="16" t="s">
        <v>51</v>
      </c>
      <c r="M178" s="66" t="s">
        <v>51</v>
      </c>
      <c r="N178" s="38"/>
      <c r="O178" s="45"/>
      <c r="P178" s="38"/>
      <c r="Q178" s="45"/>
      <c r="R178" s="38"/>
      <c r="S178" s="39"/>
      <c r="T178" s="31">
        <f t="shared" ref="T178" si="53">R177-P177</f>
        <v>0</v>
      </c>
      <c r="U178" s="78"/>
      <c r="V178" s="81"/>
      <c r="W178" s="81"/>
      <c r="X178" s="81"/>
      <c r="Y178" s="84"/>
      <c r="Z178" s="34"/>
      <c r="AA178" s="29"/>
      <c r="AB178" s="29"/>
      <c r="AC178" s="97"/>
      <c r="AD178" s="104"/>
      <c r="AE178" s="102"/>
    </row>
    <row r="179" spans="1:31" ht="17.100000000000001" customHeight="1" thickBot="1" x14ac:dyDescent="0.3">
      <c r="A179" s="52"/>
      <c r="B179" s="67"/>
      <c r="C179" s="73"/>
      <c r="D179" s="74"/>
      <c r="E179" s="75"/>
      <c r="F179" s="73"/>
      <c r="G179" s="75"/>
      <c r="H179" s="60"/>
      <c r="I179" s="25"/>
      <c r="J179" s="89"/>
      <c r="K179" s="72"/>
      <c r="L179" s="19" t="s">
        <v>52</v>
      </c>
      <c r="M179" s="67"/>
      <c r="N179" s="92"/>
      <c r="O179" s="93"/>
      <c r="P179" s="92"/>
      <c r="Q179" s="93"/>
      <c r="R179" s="92"/>
      <c r="S179" s="95"/>
      <c r="T179" s="33"/>
      <c r="U179" s="79"/>
      <c r="V179" s="82"/>
      <c r="W179" s="82"/>
      <c r="X179" s="82"/>
      <c r="Y179" s="85"/>
      <c r="Z179" s="35"/>
      <c r="AA179" s="30"/>
      <c r="AB179" s="30"/>
      <c r="AC179" s="105"/>
      <c r="AD179" s="106"/>
      <c r="AE179" s="103"/>
    </row>
    <row r="180" spans="1:31" ht="17.100000000000001" customHeight="1" x14ac:dyDescent="0.25">
      <c r="A180" s="50">
        <v>46023</v>
      </c>
      <c r="B180" s="53"/>
      <c r="C180" s="55"/>
      <c r="D180" s="56"/>
      <c r="E180" s="57"/>
      <c r="F180" s="55"/>
      <c r="G180" s="57"/>
      <c r="H180" s="58"/>
      <c r="I180" s="26"/>
      <c r="J180" s="61"/>
      <c r="K180" s="64"/>
      <c r="L180" s="11"/>
      <c r="M180" s="53"/>
      <c r="N180" s="42"/>
      <c r="O180" s="43"/>
      <c r="P180" s="36"/>
      <c r="Q180" s="43"/>
      <c r="R180" s="36"/>
      <c r="S180" s="37"/>
      <c r="T180" s="76">
        <f t="shared" ref="T180" si="54">R180-P180</f>
        <v>0</v>
      </c>
      <c r="U180" s="77"/>
      <c r="V180" s="80"/>
      <c r="W180" s="80"/>
      <c r="X180" s="80"/>
      <c r="Y180" s="83"/>
      <c r="Z180" s="86"/>
      <c r="AA180" s="48"/>
      <c r="AB180" s="48"/>
      <c r="AC180" s="96"/>
      <c r="AD180" s="99"/>
      <c r="AE180" s="101"/>
    </row>
    <row r="181" spans="1:31" ht="17.100000000000001" customHeight="1" x14ac:dyDescent="0.25">
      <c r="A181" s="51"/>
      <c r="B181" s="54"/>
      <c r="C181" s="68"/>
      <c r="D181" s="69"/>
      <c r="E181" s="70"/>
      <c r="F181" s="68"/>
      <c r="G181" s="70"/>
      <c r="H181" s="59"/>
      <c r="I181" s="24"/>
      <c r="J181" s="62"/>
      <c r="K181" s="65"/>
      <c r="L181" s="17"/>
      <c r="M181" s="54"/>
      <c r="N181" s="44"/>
      <c r="O181" s="45"/>
      <c r="P181" s="38"/>
      <c r="Q181" s="45"/>
      <c r="R181" s="38"/>
      <c r="S181" s="39"/>
      <c r="T181" s="32"/>
      <c r="U181" s="78"/>
      <c r="V181" s="81"/>
      <c r="W181" s="81"/>
      <c r="X181" s="81"/>
      <c r="Y181" s="84"/>
      <c r="Z181" s="34"/>
      <c r="AA181" s="29"/>
      <c r="AB181" s="29"/>
      <c r="AC181" s="97"/>
      <c r="AD181" s="100"/>
      <c r="AE181" s="102"/>
    </row>
    <row r="182" spans="1:31" ht="17.100000000000001" customHeight="1" x14ac:dyDescent="0.25">
      <c r="A182" s="51"/>
      <c r="B182" s="66"/>
      <c r="C182" s="68"/>
      <c r="D182" s="69"/>
      <c r="E182" s="70"/>
      <c r="F182" s="68"/>
      <c r="G182" s="70"/>
      <c r="H182" s="59"/>
      <c r="I182" s="27"/>
      <c r="J182" s="63"/>
      <c r="K182" s="71"/>
      <c r="L182" s="18"/>
      <c r="M182" s="66"/>
      <c r="N182" s="46"/>
      <c r="O182" s="47"/>
      <c r="P182" s="40"/>
      <c r="Q182" s="47"/>
      <c r="R182" s="40"/>
      <c r="S182" s="41"/>
      <c r="T182" s="31">
        <f>(P183-P180)+(R180-R183)</f>
        <v>0</v>
      </c>
      <c r="U182" s="78"/>
      <c r="V182" s="81"/>
      <c r="W182" s="81"/>
      <c r="X182" s="81"/>
      <c r="Y182" s="84"/>
      <c r="Z182" s="87"/>
      <c r="AA182" s="49"/>
      <c r="AB182" s="49"/>
      <c r="AC182" s="98"/>
      <c r="AD182" s="104"/>
      <c r="AE182" s="102"/>
    </row>
    <row r="183" spans="1:31" ht="17.100000000000001" customHeight="1" x14ac:dyDescent="0.25">
      <c r="A183" s="51"/>
      <c r="B183" s="54"/>
      <c r="C183" s="68"/>
      <c r="D183" s="69"/>
      <c r="E183" s="70"/>
      <c r="F183" s="68"/>
      <c r="G183" s="70"/>
      <c r="H183" s="59"/>
      <c r="I183" s="23"/>
      <c r="J183" s="88"/>
      <c r="K183" s="65"/>
      <c r="L183" s="18"/>
      <c r="M183" s="54"/>
      <c r="N183" s="90">
        <f>(P180-N180)+(P183-P180)+(R180-R183)</f>
        <v>0</v>
      </c>
      <c r="O183" s="91"/>
      <c r="P183" s="90"/>
      <c r="Q183" s="91"/>
      <c r="R183" s="90"/>
      <c r="S183" s="94"/>
      <c r="T183" s="32"/>
      <c r="U183" s="78"/>
      <c r="V183" s="81"/>
      <c r="W183" s="81"/>
      <c r="X183" s="81"/>
      <c r="Y183" s="84"/>
      <c r="Z183" s="34"/>
      <c r="AA183" s="28"/>
      <c r="AB183" s="28"/>
      <c r="AC183" s="97"/>
      <c r="AD183" s="100"/>
      <c r="AE183" s="102"/>
    </row>
    <row r="184" spans="1:31" ht="17.100000000000001" customHeight="1" x14ac:dyDescent="0.25">
      <c r="A184" s="51"/>
      <c r="B184" s="66"/>
      <c r="C184" s="68"/>
      <c r="D184" s="69"/>
      <c r="E184" s="70"/>
      <c r="F184" s="68"/>
      <c r="G184" s="70"/>
      <c r="H184" s="59"/>
      <c r="I184" s="24"/>
      <c r="J184" s="62"/>
      <c r="K184" s="71" t="s">
        <v>51</v>
      </c>
      <c r="L184" s="16" t="s">
        <v>51</v>
      </c>
      <c r="M184" s="66" t="s">
        <v>51</v>
      </c>
      <c r="N184" s="38"/>
      <c r="O184" s="45"/>
      <c r="P184" s="38"/>
      <c r="Q184" s="45"/>
      <c r="R184" s="38"/>
      <c r="S184" s="39"/>
      <c r="T184" s="31">
        <f t="shared" ref="T184" si="55">R183-P183</f>
        <v>0</v>
      </c>
      <c r="U184" s="78"/>
      <c r="V184" s="81"/>
      <c r="W184" s="81"/>
      <c r="X184" s="81"/>
      <c r="Y184" s="84"/>
      <c r="Z184" s="34"/>
      <c r="AA184" s="29"/>
      <c r="AB184" s="29"/>
      <c r="AC184" s="97"/>
      <c r="AD184" s="104"/>
      <c r="AE184" s="102"/>
    </row>
    <row r="185" spans="1:31" ht="17.100000000000001" customHeight="1" thickBot="1" x14ac:dyDescent="0.3">
      <c r="A185" s="52"/>
      <c r="B185" s="67"/>
      <c r="C185" s="73"/>
      <c r="D185" s="74"/>
      <c r="E185" s="75"/>
      <c r="F185" s="73"/>
      <c r="G185" s="75"/>
      <c r="H185" s="60"/>
      <c r="I185" s="25"/>
      <c r="J185" s="89"/>
      <c r="K185" s="72"/>
      <c r="L185" s="19" t="s">
        <v>52</v>
      </c>
      <c r="M185" s="67"/>
      <c r="N185" s="92"/>
      <c r="O185" s="93"/>
      <c r="P185" s="92"/>
      <c r="Q185" s="93"/>
      <c r="R185" s="92"/>
      <c r="S185" s="95"/>
      <c r="T185" s="33"/>
      <c r="U185" s="79"/>
      <c r="V185" s="82"/>
      <c r="W185" s="82"/>
      <c r="X185" s="82"/>
      <c r="Y185" s="85"/>
      <c r="Z185" s="35"/>
      <c r="AA185" s="30"/>
      <c r="AB185" s="30"/>
      <c r="AC185" s="105"/>
      <c r="AD185" s="106"/>
      <c r="AE185" s="103"/>
    </row>
    <row r="186" spans="1:31" ht="17.100000000000001" customHeight="1" x14ac:dyDescent="0.25">
      <c r="A186" s="50">
        <v>46023</v>
      </c>
      <c r="B186" s="53"/>
      <c r="C186" s="55"/>
      <c r="D186" s="56"/>
      <c r="E186" s="57"/>
      <c r="F186" s="55"/>
      <c r="G186" s="57"/>
      <c r="H186" s="58"/>
      <c r="I186" s="26"/>
      <c r="J186" s="61"/>
      <c r="K186" s="64"/>
      <c r="L186" s="11"/>
      <c r="M186" s="53"/>
      <c r="N186" s="42"/>
      <c r="O186" s="43"/>
      <c r="P186" s="36"/>
      <c r="Q186" s="43"/>
      <c r="R186" s="36"/>
      <c r="S186" s="37"/>
      <c r="T186" s="76">
        <f t="shared" ref="T186" si="56">R186-P186</f>
        <v>0</v>
      </c>
      <c r="U186" s="77"/>
      <c r="V186" s="80"/>
      <c r="W186" s="80"/>
      <c r="X186" s="80"/>
      <c r="Y186" s="83"/>
      <c r="Z186" s="86"/>
      <c r="AA186" s="48"/>
      <c r="AB186" s="48"/>
      <c r="AC186" s="96"/>
      <c r="AD186" s="99"/>
      <c r="AE186" s="101"/>
    </row>
    <row r="187" spans="1:31" ht="17.100000000000001" customHeight="1" x14ac:dyDescent="0.25">
      <c r="A187" s="51"/>
      <c r="B187" s="54"/>
      <c r="C187" s="68"/>
      <c r="D187" s="69"/>
      <c r="E187" s="70"/>
      <c r="F187" s="68"/>
      <c r="G187" s="70"/>
      <c r="H187" s="59"/>
      <c r="I187" s="24"/>
      <c r="J187" s="62"/>
      <c r="K187" s="65"/>
      <c r="L187" s="17"/>
      <c r="M187" s="54"/>
      <c r="N187" s="44"/>
      <c r="O187" s="45"/>
      <c r="P187" s="38"/>
      <c r="Q187" s="45"/>
      <c r="R187" s="38"/>
      <c r="S187" s="39"/>
      <c r="T187" s="32"/>
      <c r="U187" s="78"/>
      <c r="V187" s="81"/>
      <c r="W187" s="81"/>
      <c r="X187" s="81"/>
      <c r="Y187" s="84"/>
      <c r="Z187" s="34"/>
      <c r="AA187" s="29"/>
      <c r="AB187" s="29"/>
      <c r="AC187" s="97"/>
      <c r="AD187" s="100"/>
      <c r="AE187" s="102"/>
    </row>
    <row r="188" spans="1:31" ht="17.100000000000001" customHeight="1" x14ac:dyDescent="0.25">
      <c r="A188" s="51"/>
      <c r="B188" s="66"/>
      <c r="C188" s="68"/>
      <c r="D188" s="69"/>
      <c r="E188" s="70"/>
      <c r="F188" s="68"/>
      <c r="G188" s="70"/>
      <c r="H188" s="59"/>
      <c r="I188" s="27"/>
      <c r="J188" s="63"/>
      <c r="K188" s="71"/>
      <c r="L188" s="18"/>
      <c r="M188" s="66"/>
      <c r="N188" s="46"/>
      <c r="O188" s="47"/>
      <c r="P188" s="40"/>
      <c r="Q188" s="47"/>
      <c r="R188" s="40"/>
      <c r="S188" s="41"/>
      <c r="T188" s="31">
        <f>(P189-P186)+(R186-R189)</f>
        <v>0</v>
      </c>
      <c r="U188" s="78"/>
      <c r="V188" s="81"/>
      <c r="W188" s="81"/>
      <c r="X188" s="81"/>
      <c r="Y188" s="84"/>
      <c r="Z188" s="87"/>
      <c r="AA188" s="49"/>
      <c r="AB188" s="49"/>
      <c r="AC188" s="98"/>
      <c r="AD188" s="104"/>
      <c r="AE188" s="102"/>
    </row>
    <row r="189" spans="1:31" ht="17.100000000000001" customHeight="1" x14ac:dyDescent="0.25">
      <c r="A189" s="51"/>
      <c r="B189" s="54"/>
      <c r="C189" s="68"/>
      <c r="D189" s="69"/>
      <c r="E189" s="70"/>
      <c r="F189" s="68"/>
      <c r="G189" s="70"/>
      <c r="H189" s="59"/>
      <c r="I189" s="23"/>
      <c r="J189" s="88"/>
      <c r="K189" s="65"/>
      <c r="L189" s="18"/>
      <c r="M189" s="54"/>
      <c r="N189" s="90">
        <f>(P186-N186)+(P189-P186)+(R186-R189)</f>
        <v>0</v>
      </c>
      <c r="O189" s="91"/>
      <c r="P189" s="90"/>
      <c r="Q189" s="91"/>
      <c r="R189" s="90"/>
      <c r="S189" s="94"/>
      <c r="T189" s="32"/>
      <c r="U189" s="78"/>
      <c r="V189" s="81"/>
      <c r="W189" s="81"/>
      <c r="X189" s="81"/>
      <c r="Y189" s="84"/>
      <c r="Z189" s="34"/>
      <c r="AA189" s="28"/>
      <c r="AB189" s="28"/>
      <c r="AC189" s="97"/>
      <c r="AD189" s="100"/>
      <c r="AE189" s="102"/>
    </row>
    <row r="190" spans="1:31" ht="17.100000000000001" customHeight="1" x14ac:dyDescent="0.25">
      <c r="A190" s="51"/>
      <c r="B190" s="66"/>
      <c r="C190" s="68"/>
      <c r="D190" s="69"/>
      <c r="E190" s="70"/>
      <c r="F190" s="68"/>
      <c r="G190" s="70"/>
      <c r="H190" s="59"/>
      <c r="I190" s="24"/>
      <c r="J190" s="62"/>
      <c r="K190" s="71" t="s">
        <v>51</v>
      </c>
      <c r="L190" s="16" t="s">
        <v>51</v>
      </c>
      <c r="M190" s="66" t="s">
        <v>51</v>
      </c>
      <c r="N190" s="38"/>
      <c r="O190" s="45"/>
      <c r="P190" s="38"/>
      <c r="Q190" s="45"/>
      <c r="R190" s="38"/>
      <c r="S190" s="39"/>
      <c r="T190" s="31">
        <f t="shared" ref="T190" si="57">R189-P189</f>
        <v>0</v>
      </c>
      <c r="U190" s="78"/>
      <c r="V190" s="81"/>
      <c r="W190" s="81"/>
      <c r="X190" s="81"/>
      <c r="Y190" s="84"/>
      <c r="Z190" s="34"/>
      <c r="AA190" s="29"/>
      <c r="AB190" s="29"/>
      <c r="AC190" s="97"/>
      <c r="AD190" s="104"/>
      <c r="AE190" s="102"/>
    </row>
    <row r="191" spans="1:31" ht="17.100000000000001" customHeight="1" thickBot="1" x14ac:dyDescent="0.3">
      <c r="A191" s="52"/>
      <c r="B191" s="67"/>
      <c r="C191" s="73"/>
      <c r="D191" s="74"/>
      <c r="E191" s="75"/>
      <c r="F191" s="73"/>
      <c r="G191" s="75"/>
      <c r="H191" s="60"/>
      <c r="I191" s="25"/>
      <c r="J191" s="89"/>
      <c r="K191" s="72"/>
      <c r="L191" s="19" t="s">
        <v>52</v>
      </c>
      <c r="M191" s="67"/>
      <c r="N191" s="92"/>
      <c r="O191" s="93"/>
      <c r="P191" s="92"/>
      <c r="Q191" s="93"/>
      <c r="R191" s="92"/>
      <c r="S191" s="95"/>
      <c r="T191" s="33"/>
      <c r="U191" s="79"/>
      <c r="V191" s="82"/>
      <c r="W191" s="82"/>
      <c r="X191" s="82"/>
      <c r="Y191" s="85"/>
      <c r="Z191" s="35"/>
      <c r="AA191" s="30"/>
      <c r="AB191" s="30"/>
      <c r="AC191" s="105"/>
      <c r="AD191" s="106"/>
      <c r="AE191" s="103"/>
    </row>
    <row r="193" spans="1:31" ht="17.100000000000001" customHeight="1" thickBot="1" x14ac:dyDescent="0.3"/>
    <row r="194" spans="1:31" ht="17.100000000000001" customHeight="1" x14ac:dyDescent="0.25">
      <c r="A194" s="50">
        <v>46023</v>
      </c>
      <c r="B194" s="53"/>
      <c r="C194" s="55"/>
      <c r="D194" s="56"/>
      <c r="E194" s="57"/>
      <c r="F194" s="55"/>
      <c r="G194" s="57"/>
      <c r="H194" s="58"/>
      <c r="I194" s="26"/>
      <c r="J194" s="61"/>
      <c r="K194" s="64"/>
      <c r="L194" s="11"/>
      <c r="M194" s="53"/>
      <c r="N194" s="42"/>
      <c r="O194" s="43"/>
      <c r="P194" s="36"/>
      <c r="Q194" s="43"/>
      <c r="R194" s="36"/>
      <c r="S194" s="37"/>
      <c r="T194" s="76">
        <f t="shared" ref="T194" si="58">R194-P194</f>
        <v>0</v>
      </c>
      <c r="U194" s="77"/>
      <c r="V194" s="80"/>
      <c r="W194" s="80"/>
      <c r="X194" s="80"/>
      <c r="Y194" s="83"/>
      <c r="Z194" s="86"/>
      <c r="AA194" s="48"/>
      <c r="AB194" s="48"/>
      <c r="AC194" s="96"/>
      <c r="AD194" s="99"/>
      <c r="AE194" s="101"/>
    </row>
    <row r="195" spans="1:31" ht="17.100000000000001" customHeight="1" x14ac:dyDescent="0.25">
      <c r="A195" s="51"/>
      <c r="B195" s="54"/>
      <c r="C195" s="68"/>
      <c r="D195" s="69"/>
      <c r="E195" s="70"/>
      <c r="F195" s="68"/>
      <c r="G195" s="70"/>
      <c r="H195" s="59"/>
      <c r="I195" s="24"/>
      <c r="J195" s="62"/>
      <c r="K195" s="65"/>
      <c r="L195" s="17"/>
      <c r="M195" s="54"/>
      <c r="N195" s="44"/>
      <c r="O195" s="45"/>
      <c r="P195" s="38"/>
      <c r="Q195" s="45"/>
      <c r="R195" s="38"/>
      <c r="S195" s="39"/>
      <c r="T195" s="32"/>
      <c r="U195" s="78"/>
      <c r="V195" s="81"/>
      <c r="W195" s="81"/>
      <c r="X195" s="81"/>
      <c r="Y195" s="84"/>
      <c r="Z195" s="34"/>
      <c r="AA195" s="29"/>
      <c r="AB195" s="29"/>
      <c r="AC195" s="97"/>
      <c r="AD195" s="100"/>
      <c r="AE195" s="102"/>
    </row>
    <row r="196" spans="1:31" ht="17.100000000000001" customHeight="1" x14ac:dyDescent="0.25">
      <c r="A196" s="51"/>
      <c r="B196" s="66"/>
      <c r="C196" s="68"/>
      <c r="D196" s="69"/>
      <c r="E196" s="70"/>
      <c r="F196" s="68"/>
      <c r="G196" s="70"/>
      <c r="H196" s="59"/>
      <c r="I196" s="27"/>
      <c r="J196" s="63"/>
      <c r="K196" s="71"/>
      <c r="L196" s="18"/>
      <c r="M196" s="66"/>
      <c r="N196" s="46"/>
      <c r="O196" s="47"/>
      <c r="P196" s="40"/>
      <c r="Q196" s="47"/>
      <c r="R196" s="40"/>
      <c r="S196" s="41"/>
      <c r="T196" s="31">
        <f>(P197-P194)+(R194-R197)</f>
        <v>0</v>
      </c>
      <c r="U196" s="78"/>
      <c r="V196" s="81"/>
      <c r="W196" s="81"/>
      <c r="X196" s="81"/>
      <c r="Y196" s="84"/>
      <c r="Z196" s="87"/>
      <c r="AA196" s="49"/>
      <c r="AB196" s="49"/>
      <c r="AC196" s="98"/>
      <c r="AD196" s="104"/>
      <c r="AE196" s="102"/>
    </row>
    <row r="197" spans="1:31" ht="17.100000000000001" customHeight="1" x14ac:dyDescent="0.25">
      <c r="A197" s="51"/>
      <c r="B197" s="54"/>
      <c r="C197" s="68"/>
      <c r="D197" s="69"/>
      <c r="E197" s="70"/>
      <c r="F197" s="68"/>
      <c r="G197" s="70"/>
      <c r="H197" s="59"/>
      <c r="I197" s="23"/>
      <c r="J197" s="88"/>
      <c r="K197" s="65"/>
      <c r="L197" s="18"/>
      <c r="M197" s="54"/>
      <c r="N197" s="90">
        <f>(P194-N194)+(P197-P194)+(R194-R197)</f>
        <v>0</v>
      </c>
      <c r="O197" s="91"/>
      <c r="P197" s="90"/>
      <c r="Q197" s="91"/>
      <c r="R197" s="90"/>
      <c r="S197" s="94"/>
      <c r="T197" s="32"/>
      <c r="U197" s="78"/>
      <c r="V197" s="81"/>
      <c r="W197" s="81"/>
      <c r="X197" s="81"/>
      <c r="Y197" s="84"/>
      <c r="Z197" s="34"/>
      <c r="AA197" s="28"/>
      <c r="AB197" s="28"/>
      <c r="AC197" s="97"/>
      <c r="AD197" s="100"/>
      <c r="AE197" s="102"/>
    </row>
    <row r="198" spans="1:31" ht="17.100000000000001" customHeight="1" x14ac:dyDescent="0.25">
      <c r="A198" s="51"/>
      <c r="B198" s="66"/>
      <c r="C198" s="68"/>
      <c r="D198" s="69"/>
      <c r="E198" s="70"/>
      <c r="F198" s="68"/>
      <c r="G198" s="70"/>
      <c r="H198" s="59"/>
      <c r="I198" s="24"/>
      <c r="J198" s="62"/>
      <c r="K198" s="71" t="s">
        <v>51</v>
      </c>
      <c r="L198" s="16" t="s">
        <v>51</v>
      </c>
      <c r="M198" s="66" t="s">
        <v>51</v>
      </c>
      <c r="N198" s="38"/>
      <c r="O198" s="45"/>
      <c r="P198" s="38"/>
      <c r="Q198" s="45"/>
      <c r="R198" s="38"/>
      <c r="S198" s="39"/>
      <c r="T198" s="31">
        <f t="shared" ref="T198" si="59">R197-P197</f>
        <v>0</v>
      </c>
      <c r="U198" s="78"/>
      <c r="V198" s="81"/>
      <c r="W198" s="81"/>
      <c r="X198" s="81"/>
      <c r="Y198" s="84"/>
      <c r="Z198" s="34"/>
      <c r="AA198" s="29"/>
      <c r="AB198" s="29"/>
      <c r="AC198" s="97"/>
      <c r="AD198" s="104"/>
      <c r="AE198" s="102"/>
    </row>
    <row r="199" spans="1:31" ht="17.100000000000001" customHeight="1" thickBot="1" x14ac:dyDescent="0.3">
      <c r="A199" s="52"/>
      <c r="B199" s="67"/>
      <c r="C199" s="73"/>
      <c r="D199" s="74"/>
      <c r="E199" s="75"/>
      <c r="F199" s="73"/>
      <c r="G199" s="75"/>
      <c r="H199" s="60"/>
      <c r="I199" s="25"/>
      <c r="J199" s="89"/>
      <c r="K199" s="72"/>
      <c r="L199" s="19" t="s">
        <v>52</v>
      </c>
      <c r="M199" s="67"/>
      <c r="N199" s="92"/>
      <c r="O199" s="93"/>
      <c r="P199" s="92"/>
      <c r="Q199" s="93"/>
      <c r="R199" s="92"/>
      <c r="S199" s="95"/>
      <c r="T199" s="33"/>
      <c r="U199" s="79"/>
      <c r="V199" s="82"/>
      <c r="W199" s="82"/>
      <c r="X199" s="82"/>
      <c r="Y199" s="85"/>
      <c r="Z199" s="35"/>
      <c r="AA199" s="30"/>
      <c r="AB199" s="30"/>
      <c r="AC199" s="105"/>
      <c r="AD199" s="106"/>
      <c r="AE199" s="103"/>
    </row>
    <row r="200" spans="1:31" ht="17.100000000000001" customHeight="1" x14ac:dyDescent="0.25">
      <c r="A200" s="50">
        <v>46023</v>
      </c>
      <c r="B200" s="53"/>
      <c r="C200" s="55"/>
      <c r="D200" s="56"/>
      <c r="E200" s="57"/>
      <c r="F200" s="55"/>
      <c r="G200" s="57"/>
      <c r="H200" s="58"/>
      <c r="I200" s="26"/>
      <c r="J200" s="61"/>
      <c r="K200" s="64"/>
      <c r="L200" s="11"/>
      <c r="M200" s="53"/>
      <c r="N200" s="42"/>
      <c r="O200" s="43"/>
      <c r="P200" s="36"/>
      <c r="Q200" s="43"/>
      <c r="R200" s="36"/>
      <c r="S200" s="37"/>
      <c r="T200" s="76">
        <f t="shared" ref="T200" si="60">R200-P200</f>
        <v>0</v>
      </c>
      <c r="U200" s="77"/>
      <c r="V200" s="80"/>
      <c r="W200" s="80"/>
      <c r="X200" s="80"/>
      <c r="Y200" s="83"/>
      <c r="Z200" s="86"/>
      <c r="AA200" s="48"/>
      <c r="AB200" s="48"/>
      <c r="AC200" s="96"/>
      <c r="AD200" s="99"/>
      <c r="AE200" s="101"/>
    </row>
    <row r="201" spans="1:31" ht="17.100000000000001" customHeight="1" x14ac:dyDescent="0.25">
      <c r="A201" s="51"/>
      <c r="B201" s="54"/>
      <c r="C201" s="68"/>
      <c r="D201" s="69"/>
      <c r="E201" s="70"/>
      <c r="F201" s="68"/>
      <c r="G201" s="70"/>
      <c r="H201" s="59"/>
      <c r="I201" s="24"/>
      <c r="J201" s="62"/>
      <c r="K201" s="65"/>
      <c r="L201" s="17"/>
      <c r="M201" s="54"/>
      <c r="N201" s="44"/>
      <c r="O201" s="45"/>
      <c r="P201" s="38"/>
      <c r="Q201" s="45"/>
      <c r="R201" s="38"/>
      <c r="S201" s="39"/>
      <c r="T201" s="32"/>
      <c r="U201" s="78"/>
      <c r="V201" s="81"/>
      <c r="W201" s="81"/>
      <c r="X201" s="81"/>
      <c r="Y201" s="84"/>
      <c r="Z201" s="34"/>
      <c r="AA201" s="29"/>
      <c r="AB201" s="29"/>
      <c r="AC201" s="97"/>
      <c r="AD201" s="100"/>
      <c r="AE201" s="102"/>
    </row>
    <row r="202" spans="1:31" ht="17.100000000000001" customHeight="1" x14ac:dyDescent="0.25">
      <c r="A202" s="51"/>
      <c r="B202" s="66"/>
      <c r="C202" s="68"/>
      <c r="D202" s="69"/>
      <c r="E202" s="70"/>
      <c r="F202" s="68"/>
      <c r="G202" s="70"/>
      <c r="H202" s="59"/>
      <c r="I202" s="27"/>
      <c r="J202" s="63"/>
      <c r="K202" s="71"/>
      <c r="L202" s="18"/>
      <c r="M202" s="66"/>
      <c r="N202" s="46"/>
      <c r="O202" s="47"/>
      <c r="P202" s="40"/>
      <c r="Q202" s="47"/>
      <c r="R202" s="40"/>
      <c r="S202" s="41"/>
      <c r="T202" s="31">
        <f>(P203-P200)+(R200-R203)</f>
        <v>0</v>
      </c>
      <c r="U202" s="78"/>
      <c r="V202" s="81"/>
      <c r="W202" s="81"/>
      <c r="X202" s="81"/>
      <c r="Y202" s="84"/>
      <c r="Z202" s="87"/>
      <c r="AA202" s="49"/>
      <c r="AB202" s="49"/>
      <c r="AC202" s="98"/>
      <c r="AD202" s="104"/>
      <c r="AE202" s="102"/>
    </row>
    <row r="203" spans="1:31" ht="17.100000000000001" customHeight="1" x14ac:dyDescent="0.25">
      <c r="A203" s="51"/>
      <c r="B203" s="54"/>
      <c r="C203" s="68"/>
      <c r="D203" s="69"/>
      <c r="E203" s="70"/>
      <c r="F203" s="68"/>
      <c r="G203" s="70"/>
      <c r="H203" s="59"/>
      <c r="I203" s="23"/>
      <c r="J203" s="88"/>
      <c r="K203" s="65"/>
      <c r="L203" s="18"/>
      <c r="M203" s="54"/>
      <c r="N203" s="90">
        <f>(P200-N200)+(P203-P200)+(R200-R203)</f>
        <v>0</v>
      </c>
      <c r="O203" s="91"/>
      <c r="P203" s="90"/>
      <c r="Q203" s="91"/>
      <c r="R203" s="90"/>
      <c r="S203" s="94"/>
      <c r="T203" s="32"/>
      <c r="U203" s="78"/>
      <c r="V203" s="81"/>
      <c r="W203" s="81"/>
      <c r="X203" s="81"/>
      <c r="Y203" s="84"/>
      <c r="Z203" s="34"/>
      <c r="AA203" s="28"/>
      <c r="AB203" s="28"/>
      <c r="AC203" s="97"/>
      <c r="AD203" s="100"/>
      <c r="AE203" s="102"/>
    </row>
    <row r="204" spans="1:31" ht="17.100000000000001" customHeight="1" x14ac:dyDescent="0.25">
      <c r="A204" s="51"/>
      <c r="B204" s="66"/>
      <c r="C204" s="68"/>
      <c r="D204" s="69"/>
      <c r="E204" s="70"/>
      <c r="F204" s="68"/>
      <c r="G204" s="70"/>
      <c r="H204" s="59"/>
      <c r="I204" s="24"/>
      <c r="J204" s="62"/>
      <c r="K204" s="71" t="s">
        <v>51</v>
      </c>
      <c r="L204" s="16" t="s">
        <v>51</v>
      </c>
      <c r="M204" s="66" t="s">
        <v>51</v>
      </c>
      <c r="N204" s="38"/>
      <c r="O204" s="45"/>
      <c r="P204" s="38"/>
      <c r="Q204" s="45"/>
      <c r="R204" s="38"/>
      <c r="S204" s="39"/>
      <c r="T204" s="31">
        <f t="shared" ref="T204" si="61">R203-P203</f>
        <v>0</v>
      </c>
      <c r="U204" s="78"/>
      <c r="V204" s="81"/>
      <c r="W204" s="81"/>
      <c r="X204" s="81"/>
      <c r="Y204" s="84"/>
      <c r="Z204" s="34"/>
      <c r="AA204" s="29"/>
      <c r="AB204" s="29"/>
      <c r="AC204" s="97"/>
      <c r="AD204" s="104"/>
      <c r="AE204" s="102"/>
    </row>
    <row r="205" spans="1:31" ht="17.100000000000001" customHeight="1" thickBot="1" x14ac:dyDescent="0.3">
      <c r="A205" s="52"/>
      <c r="B205" s="67"/>
      <c r="C205" s="73"/>
      <c r="D205" s="74"/>
      <c r="E205" s="75"/>
      <c r="F205" s="73"/>
      <c r="G205" s="75"/>
      <c r="H205" s="60"/>
      <c r="I205" s="25"/>
      <c r="J205" s="89"/>
      <c r="K205" s="72"/>
      <c r="L205" s="19" t="s">
        <v>52</v>
      </c>
      <c r="M205" s="67"/>
      <c r="N205" s="92"/>
      <c r="O205" s="93"/>
      <c r="P205" s="92"/>
      <c r="Q205" s="93"/>
      <c r="R205" s="92"/>
      <c r="S205" s="95"/>
      <c r="T205" s="33"/>
      <c r="U205" s="79"/>
      <c r="V205" s="82"/>
      <c r="W205" s="82"/>
      <c r="X205" s="82"/>
      <c r="Y205" s="85"/>
      <c r="Z205" s="35"/>
      <c r="AA205" s="30"/>
      <c r="AB205" s="30"/>
      <c r="AC205" s="105"/>
      <c r="AD205" s="106"/>
      <c r="AE205" s="103"/>
    </row>
    <row r="206" spans="1:31" ht="17.100000000000001" customHeight="1" x14ac:dyDescent="0.25">
      <c r="A206" s="50">
        <v>46023</v>
      </c>
      <c r="B206" s="53"/>
      <c r="C206" s="55"/>
      <c r="D206" s="56"/>
      <c r="E206" s="57"/>
      <c r="F206" s="55"/>
      <c r="G206" s="57"/>
      <c r="H206" s="58"/>
      <c r="I206" s="26"/>
      <c r="J206" s="61"/>
      <c r="K206" s="64"/>
      <c r="L206" s="11"/>
      <c r="M206" s="53"/>
      <c r="N206" s="42"/>
      <c r="O206" s="43"/>
      <c r="P206" s="36"/>
      <c r="Q206" s="43"/>
      <c r="R206" s="36"/>
      <c r="S206" s="37"/>
      <c r="T206" s="76">
        <f t="shared" ref="T206" si="62">R206-P206</f>
        <v>0</v>
      </c>
      <c r="U206" s="77"/>
      <c r="V206" s="80"/>
      <c r="W206" s="80"/>
      <c r="X206" s="80"/>
      <c r="Y206" s="83"/>
      <c r="Z206" s="86"/>
      <c r="AA206" s="48"/>
      <c r="AB206" s="48"/>
      <c r="AC206" s="96"/>
      <c r="AD206" s="99"/>
      <c r="AE206" s="101"/>
    </row>
    <row r="207" spans="1:31" ht="17.100000000000001" customHeight="1" x14ac:dyDescent="0.25">
      <c r="A207" s="51"/>
      <c r="B207" s="54"/>
      <c r="C207" s="68"/>
      <c r="D207" s="69"/>
      <c r="E207" s="70"/>
      <c r="F207" s="68"/>
      <c r="G207" s="70"/>
      <c r="H207" s="59"/>
      <c r="I207" s="24"/>
      <c r="J207" s="62"/>
      <c r="K207" s="65"/>
      <c r="L207" s="17"/>
      <c r="M207" s="54"/>
      <c r="N207" s="44"/>
      <c r="O207" s="45"/>
      <c r="P207" s="38"/>
      <c r="Q207" s="45"/>
      <c r="R207" s="38"/>
      <c r="S207" s="39"/>
      <c r="T207" s="32"/>
      <c r="U207" s="78"/>
      <c r="V207" s="81"/>
      <c r="W207" s="81"/>
      <c r="X207" s="81"/>
      <c r="Y207" s="84"/>
      <c r="Z207" s="34"/>
      <c r="AA207" s="29"/>
      <c r="AB207" s="29"/>
      <c r="AC207" s="97"/>
      <c r="AD207" s="100"/>
      <c r="AE207" s="102"/>
    </row>
    <row r="208" spans="1:31" ht="17.100000000000001" customHeight="1" x14ac:dyDescent="0.25">
      <c r="A208" s="51"/>
      <c r="B208" s="66"/>
      <c r="C208" s="68"/>
      <c r="D208" s="69"/>
      <c r="E208" s="70"/>
      <c r="F208" s="68"/>
      <c r="G208" s="70"/>
      <c r="H208" s="59"/>
      <c r="I208" s="27"/>
      <c r="J208" s="63"/>
      <c r="K208" s="71"/>
      <c r="L208" s="18"/>
      <c r="M208" s="66"/>
      <c r="N208" s="46"/>
      <c r="O208" s="47"/>
      <c r="P208" s="40"/>
      <c r="Q208" s="47"/>
      <c r="R208" s="40"/>
      <c r="S208" s="41"/>
      <c r="T208" s="31">
        <f>(P209-P206)+(R206-R209)</f>
        <v>0</v>
      </c>
      <c r="U208" s="78"/>
      <c r="V208" s="81"/>
      <c r="W208" s="81"/>
      <c r="X208" s="81"/>
      <c r="Y208" s="84"/>
      <c r="Z208" s="87"/>
      <c r="AA208" s="49"/>
      <c r="AB208" s="49"/>
      <c r="AC208" s="98"/>
      <c r="AD208" s="104"/>
      <c r="AE208" s="102"/>
    </row>
    <row r="209" spans="1:31" ht="17.100000000000001" customHeight="1" x14ac:dyDescent="0.25">
      <c r="A209" s="51"/>
      <c r="B209" s="54"/>
      <c r="C209" s="68"/>
      <c r="D209" s="69"/>
      <c r="E209" s="70"/>
      <c r="F209" s="68"/>
      <c r="G209" s="70"/>
      <c r="H209" s="59"/>
      <c r="I209" s="23"/>
      <c r="J209" s="88"/>
      <c r="K209" s="65"/>
      <c r="L209" s="18"/>
      <c r="M209" s="54"/>
      <c r="N209" s="90">
        <f>(P206-N206)+(P209-P206)+(R206-R209)</f>
        <v>0</v>
      </c>
      <c r="O209" s="91"/>
      <c r="P209" s="90"/>
      <c r="Q209" s="91"/>
      <c r="R209" s="90"/>
      <c r="S209" s="94"/>
      <c r="T209" s="32"/>
      <c r="U209" s="78"/>
      <c r="V209" s="81"/>
      <c r="W209" s="81"/>
      <c r="X209" s="81"/>
      <c r="Y209" s="84"/>
      <c r="Z209" s="34"/>
      <c r="AA209" s="28"/>
      <c r="AB209" s="28"/>
      <c r="AC209" s="97"/>
      <c r="AD209" s="100"/>
      <c r="AE209" s="102"/>
    </row>
    <row r="210" spans="1:31" ht="17.100000000000001" customHeight="1" x14ac:dyDescent="0.25">
      <c r="A210" s="51"/>
      <c r="B210" s="66"/>
      <c r="C210" s="68"/>
      <c r="D210" s="69"/>
      <c r="E210" s="70"/>
      <c r="F210" s="68"/>
      <c r="G210" s="70"/>
      <c r="H210" s="59"/>
      <c r="I210" s="24"/>
      <c r="J210" s="62"/>
      <c r="K210" s="71" t="s">
        <v>51</v>
      </c>
      <c r="L210" s="16" t="s">
        <v>51</v>
      </c>
      <c r="M210" s="66" t="s">
        <v>51</v>
      </c>
      <c r="N210" s="38"/>
      <c r="O210" s="45"/>
      <c r="P210" s="38"/>
      <c r="Q210" s="45"/>
      <c r="R210" s="38"/>
      <c r="S210" s="39"/>
      <c r="T210" s="31">
        <f t="shared" ref="T210" si="63">R209-P209</f>
        <v>0</v>
      </c>
      <c r="U210" s="78"/>
      <c r="V210" s="81"/>
      <c r="W210" s="81"/>
      <c r="X210" s="81"/>
      <c r="Y210" s="84"/>
      <c r="Z210" s="34"/>
      <c r="AA210" s="29"/>
      <c r="AB210" s="29"/>
      <c r="AC210" s="97"/>
      <c r="AD210" s="104"/>
      <c r="AE210" s="102"/>
    </row>
    <row r="211" spans="1:31" ht="17.100000000000001" customHeight="1" thickBot="1" x14ac:dyDescent="0.3">
      <c r="A211" s="52"/>
      <c r="B211" s="67"/>
      <c r="C211" s="73"/>
      <c r="D211" s="74"/>
      <c r="E211" s="75"/>
      <c r="F211" s="73"/>
      <c r="G211" s="75"/>
      <c r="H211" s="60"/>
      <c r="I211" s="25"/>
      <c r="J211" s="89"/>
      <c r="K211" s="72"/>
      <c r="L211" s="19" t="s">
        <v>52</v>
      </c>
      <c r="M211" s="67"/>
      <c r="N211" s="92"/>
      <c r="O211" s="93"/>
      <c r="P211" s="92"/>
      <c r="Q211" s="93"/>
      <c r="R211" s="92"/>
      <c r="S211" s="95"/>
      <c r="T211" s="33"/>
      <c r="U211" s="79"/>
      <c r="V211" s="82"/>
      <c r="W211" s="82"/>
      <c r="X211" s="82"/>
      <c r="Y211" s="85"/>
      <c r="Z211" s="35"/>
      <c r="AA211" s="30"/>
      <c r="AB211" s="30"/>
      <c r="AC211" s="105"/>
      <c r="AD211" s="106"/>
      <c r="AE211" s="103"/>
    </row>
    <row r="212" spans="1:31" ht="17.100000000000001" customHeight="1" x14ac:dyDescent="0.25">
      <c r="A212" s="50">
        <v>46023</v>
      </c>
      <c r="B212" s="53"/>
      <c r="C212" s="55"/>
      <c r="D212" s="56"/>
      <c r="E212" s="57"/>
      <c r="F212" s="55"/>
      <c r="G212" s="57"/>
      <c r="H212" s="58"/>
      <c r="I212" s="26"/>
      <c r="J212" s="61"/>
      <c r="K212" s="64"/>
      <c r="L212" s="11"/>
      <c r="M212" s="53"/>
      <c r="N212" s="42"/>
      <c r="O212" s="43"/>
      <c r="P212" s="36"/>
      <c r="Q212" s="43"/>
      <c r="R212" s="36"/>
      <c r="S212" s="37"/>
      <c r="T212" s="76">
        <f t="shared" ref="T212" si="64">R212-P212</f>
        <v>0</v>
      </c>
      <c r="U212" s="77"/>
      <c r="V212" s="80"/>
      <c r="W212" s="80"/>
      <c r="X212" s="80"/>
      <c r="Y212" s="83"/>
      <c r="Z212" s="86"/>
      <c r="AA212" s="48"/>
      <c r="AB212" s="48"/>
      <c r="AC212" s="96"/>
      <c r="AD212" s="99"/>
      <c r="AE212" s="101"/>
    </row>
    <row r="213" spans="1:31" ht="17.100000000000001" customHeight="1" x14ac:dyDescent="0.25">
      <c r="A213" s="51"/>
      <c r="B213" s="54"/>
      <c r="C213" s="68"/>
      <c r="D213" s="69"/>
      <c r="E213" s="70"/>
      <c r="F213" s="68"/>
      <c r="G213" s="70"/>
      <c r="H213" s="59"/>
      <c r="I213" s="24"/>
      <c r="J213" s="62"/>
      <c r="K213" s="65"/>
      <c r="L213" s="17"/>
      <c r="M213" s="54"/>
      <c r="N213" s="44"/>
      <c r="O213" s="45"/>
      <c r="P213" s="38"/>
      <c r="Q213" s="45"/>
      <c r="R213" s="38"/>
      <c r="S213" s="39"/>
      <c r="T213" s="32"/>
      <c r="U213" s="78"/>
      <c r="V213" s="81"/>
      <c r="W213" s="81"/>
      <c r="X213" s="81"/>
      <c r="Y213" s="84"/>
      <c r="Z213" s="34"/>
      <c r="AA213" s="29"/>
      <c r="AB213" s="29"/>
      <c r="AC213" s="97"/>
      <c r="AD213" s="100"/>
      <c r="AE213" s="102"/>
    </row>
    <row r="214" spans="1:31" ht="17.100000000000001" customHeight="1" x14ac:dyDescent="0.25">
      <c r="A214" s="51"/>
      <c r="B214" s="66"/>
      <c r="C214" s="68"/>
      <c r="D214" s="69"/>
      <c r="E214" s="70"/>
      <c r="F214" s="68"/>
      <c r="G214" s="70"/>
      <c r="H214" s="59"/>
      <c r="I214" s="27"/>
      <c r="J214" s="63"/>
      <c r="K214" s="71"/>
      <c r="L214" s="18"/>
      <c r="M214" s="66"/>
      <c r="N214" s="46"/>
      <c r="O214" s="47"/>
      <c r="P214" s="40"/>
      <c r="Q214" s="47"/>
      <c r="R214" s="40"/>
      <c r="S214" s="41"/>
      <c r="T214" s="31">
        <f>(P215-P212)+(R212-R215)</f>
        <v>0</v>
      </c>
      <c r="U214" s="78"/>
      <c r="V214" s="81"/>
      <c r="W214" s="81"/>
      <c r="X214" s="81"/>
      <c r="Y214" s="84"/>
      <c r="Z214" s="87"/>
      <c r="AA214" s="49"/>
      <c r="AB214" s="49"/>
      <c r="AC214" s="98"/>
      <c r="AD214" s="104"/>
      <c r="AE214" s="102"/>
    </row>
    <row r="215" spans="1:31" ht="17.100000000000001" customHeight="1" x14ac:dyDescent="0.25">
      <c r="A215" s="51"/>
      <c r="B215" s="54"/>
      <c r="C215" s="68"/>
      <c r="D215" s="69"/>
      <c r="E215" s="70"/>
      <c r="F215" s="68"/>
      <c r="G215" s="70"/>
      <c r="H215" s="59"/>
      <c r="I215" s="23"/>
      <c r="J215" s="88"/>
      <c r="K215" s="65"/>
      <c r="L215" s="18"/>
      <c r="M215" s="54"/>
      <c r="N215" s="90">
        <f>(P212-N212)+(P215-P212)+(R212-R215)</f>
        <v>0</v>
      </c>
      <c r="O215" s="91"/>
      <c r="P215" s="90"/>
      <c r="Q215" s="91"/>
      <c r="R215" s="90"/>
      <c r="S215" s="94"/>
      <c r="T215" s="32"/>
      <c r="U215" s="78"/>
      <c r="V215" s="81"/>
      <c r="W215" s="81"/>
      <c r="X215" s="81"/>
      <c r="Y215" s="84"/>
      <c r="Z215" s="34"/>
      <c r="AA215" s="28"/>
      <c r="AB215" s="28"/>
      <c r="AC215" s="97"/>
      <c r="AD215" s="100"/>
      <c r="AE215" s="102"/>
    </row>
    <row r="216" spans="1:31" ht="17.100000000000001" customHeight="1" x14ac:dyDescent="0.25">
      <c r="A216" s="51"/>
      <c r="B216" s="66"/>
      <c r="C216" s="68"/>
      <c r="D216" s="69"/>
      <c r="E216" s="70"/>
      <c r="F216" s="68"/>
      <c r="G216" s="70"/>
      <c r="H216" s="59"/>
      <c r="I216" s="24"/>
      <c r="J216" s="62"/>
      <c r="K216" s="71" t="s">
        <v>51</v>
      </c>
      <c r="L216" s="16" t="s">
        <v>51</v>
      </c>
      <c r="M216" s="66" t="s">
        <v>51</v>
      </c>
      <c r="N216" s="38"/>
      <c r="O216" s="45"/>
      <c r="P216" s="38"/>
      <c r="Q216" s="45"/>
      <c r="R216" s="38"/>
      <c r="S216" s="39"/>
      <c r="T216" s="31">
        <f t="shared" ref="T216" si="65">R215-P215</f>
        <v>0</v>
      </c>
      <c r="U216" s="78"/>
      <c r="V216" s="81"/>
      <c r="W216" s="81"/>
      <c r="X216" s="81"/>
      <c r="Y216" s="84"/>
      <c r="Z216" s="34"/>
      <c r="AA216" s="29"/>
      <c r="AB216" s="29"/>
      <c r="AC216" s="97"/>
      <c r="AD216" s="104"/>
      <c r="AE216" s="102"/>
    </row>
    <row r="217" spans="1:31" ht="17.100000000000001" customHeight="1" thickBot="1" x14ac:dyDescent="0.3">
      <c r="A217" s="52"/>
      <c r="B217" s="67"/>
      <c r="C217" s="73"/>
      <c r="D217" s="74"/>
      <c r="E217" s="75"/>
      <c r="F217" s="73"/>
      <c r="G217" s="75"/>
      <c r="H217" s="60"/>
      <c r="I217" s="25"/>
      <c r="J217" s="89"/>
      <c r="K217" s="72"/>
      <c r="L217" s="19" t="s">
        <v>52</v>
      </c>
      <c r="M217" s="67"/>
      <c r="N217" s="92"/>
      <c r="O217" s="93"/>
      <c r="P217" s="92"/>
      <c r="Q217" s="93"/>
      <c r="R217" s="92"/>
      <c r="S217" s="95"/>
      <c r="T217" s="33"/>
      <c r="U217" s="79"/>
      <c r="V217" s="82"/>
      <c r="W217" s="82"/>
      <c r="X217" s="82"/>
      <c r="Y217" s="85"/>
      <c r="Z217" s="35"/>
      <c r="AA217" s="30"/>
      <c r="AB217" s="30"/>
      <c r="AC217" s="105"/>
      <c r="AD217" s="106"/>
      <c r="AE217" s="103"/>
    </row>
    <row r="218" spans="1:31" ht="17.100000000000001" customHeight="1" x14ac:dyDescent="0.25">
      <c r="A218" s="50">
        <v>46023</v>
      </c>
      <c r="B218" s="53"/>
      <c r="C218" s="55"/>
      <c r="D218" s="56"/>
      <c r="E218" s="57"/>
      <c r="F218" s="55"/>
      <c r="G218" s="57"/>
      <c r="H218" s="58"/>
      <c r="I218" s="26"/>
      <c r="J218" s="61"/>
      <c r="K218" s="64"/>
      <c r="L218" s="11"/>
      <c r="M218" s="53"/>
      <c r="N218" s="42"/>
      <c r="O218" s="43"/>
      <c r="P218" s="36"/>
      <c r="Q218" s="43"/>
      <c r="R218" s="36"/>
      <c r="S218" s="37"/>
      <c r="T218" s="76">
        <f t="shared" ref="T218" si="66">R218-P218</f>
        <v>0</v>
      </c>
      <c r="U218" s="77"/>
      <c r="V218" s="80"/>
      <c r="W218" s="80"/>
      <c r="X218" s="80"/>
      <c r="Y218" s="83"/>
      <c r="Z218" s="86"/>
      <c r="AA218" s="48"/>
      <c r="AB218" s="48"/>
      <c r="AC218" s="96"/>
      <c r="AD218" s="99"/>
      <c r="AE218" s="101"/>
    </row>
    <row r="219" spans="1:31" ht="17.100000000000001" customHeight="1" x14ac:dyDescent="0.25">
      <c r="A219" s="51"/>
      <c r="B219" s="54"/>
      <c r="C219" s="68"/>
      <c r="D219" s="69"/>
      <c r="E219" s="70"/>
      <c r="F219" s="68"/>
      <c r="G219" s="70"/>
      <c r="H219" s="59"/>
      <c r="I219" s="24"/>
      <c r="J219" s="62"/>
      <c r="K219" s="65"/>
      <c r="L219" s="17"/>
      <c r="M219" s="54"/>
      <c r="N219" s="44"/>
      <c r="O219" s="45"/>
      <c r="P219" s="38"/>
      <c r="Q219" s="45"/>
      <c r="R219" s="38"/>
      <c r="S219" s="39"/>
      <c r="T219" s="32"/>
      <c r="U219" s="78"/>
      <c r="V219" s="81"/>
      <c r="W219" s="81"/>
      <c r="X219" s="81"/>
      <c r="Y219" s="84"/>
      <c r="Z219" s="34"/>
      <c r="AA219" s="29"/>
      <c r="AB219" s="29"/>
      <c r="AC219" s="97"/>
      <c r="AD219" s="100"/>
      <c r="AE219" s="102"/>
    </row>
    <row r="220" spans="1:31" ht="17.100000000000001" customHeight="1" x14ac:dyDescent="0.25">
      <c r="A220" s="51"/>
      <c r="B220" s="66"/>
      <c r="C220" s="68"/>
      <c r="D220" s="69"/>
      <c r="E220" s="70"/>
      <c r="F220" s="68"/>
      <c r="G220" s="70"/>
      <c r="H220" s="59"/>
      <c r="I220" s="27"/>
      <c r="J220" s="63"/>
      <c r="K220" s="71"/>
      <c r="L220" s="18"/>
      <c r="M220" s="66"/>
      <c r="N220" s="46"/>
      <c r="O220" s="47"/>
      <c r="P220" s="40"/>
      <c r="Q220" s="47"/>
      <c r="R220" s="40"/>
      <c r="S220" s="41"/>
      <c r="T220" s="31">
        <f>(P221-P218)+(R218-R221)</f>
        <v>0</v>
      </c>
      <c r="U220" s="78"/>
      <c r="V220" s="81"/>
      <c r="W220" s="81"/>
      <c r="X220" s="81"/>
      <c r="Y220" s="84"/>
      <c r="Z220" s="87"/>
      <c r="AA220" s="49"/>
      <c r="AB220" s="49"/>
      <c r="AC220" s="98"/>
      <c r="AD220" s="104"/>
      <c r="AE220" s="102"/>
    </row>
    <row r="221" spans="1:31" ht="17.100000000000001" customHeight="1" x14ac:dyDescent="0.25">
      <c r="A221" s="51"/>
      <c r="B221" s="54"/>
      <c r="C221" s="68"/>
      <c r="D221" s="69"/>
      <c r="E221" s="70"/>
      <c r="F221" s="68"/>
      <c r="G221" s="70"/>
      <c r="H221" s="59"/>
      <c r="I221" s="23"/>
      <c r="J221" s="88"/>
      <c r="K221" s="65"/>
      <c r="L221" s="18"/>
      <c r="M221" s="54"/>
      <c r="N221" s="90">
        <f>(P218-N218)+(P221-P218)+(R218-R221)</f>
        <v>0</v>
      </c>
      <c r="O221" s="91"/>
      <c r="P221" s="90"/>
      <c r="Q221" s="91"/>
      <c r="R221" s="90"/>
      <c r="S221" s="94"/>
      <c r="T221" s="32"/>
      <c r="U221" s="78"/>
      <c r="V221" s="81"/>
      <c r="W221" s="81"/>
      <c r="X221" s="81"/>
      <c r="Y221" s="84"/>
      <c r="Z221" s="34"/>
      <c r="AA221" s="28"/>
      <c r="AB221" s="28"/>
      <c r="AC221" s="97"/>
      <c r="AD221" s="100"/>
      <c r="AE221" s="102"/>
    </row>
    <row r="222" spans="1:31" ht="17.100000000000001" customHeight="1" x14ac:dyDescent="0.25">
      <c r="A222" s="51"/>
      <c r="B222" s="66"/>
      <c r="C222" s="68"/>
      <c r="D222" s="69"/>
      <c r="E222" s="70"/>
      <c r="F222" s="68"/>
      <c r="G222" s="70"/>
      <c r="H222" s="59"/>
      <c r="I222" s="24"/>
      <c r="J222" s="62"/>
      <c r="K222" s="71" t="s">
        <v>51</v>
      </c>
      <c r="L222" s="16" t="s">
        <v>51</v>
      </c>
      <c r="M222" s="66" t="s">
        <v>51</v>
      </c>
      <c r="N222" s="38"/>
      <c r="O222" s="45"/>
      <c r="P222" s="38"/>
      <c r="Q222" s="45"/>
      <c r="R222" s="38"/>
      <c r="S222" s="39"/>
      <c r="T222" s="31">
        <f t="shared" ref="T222" si="67">R221-P221</f>
        <v>0</v>
      </c>
      <c r="U222" s="78"/>
      <c r="V222" s="81"/>
      <c r="W222" s="81"/>
      <c r="X222" s="81"/>
      <c r="Y222" s="84"/>
      <c r="Z222" s="34"/>
      <c r="AA222" s="29"/>
      <c r="AB222" s="29"/>
      <c r="AC222" s="97"/>
      <c r="AD222" s="104"/>
      <c r="AE222" s="102"/>
    </row>
    <row r="223" spans="1:31" ht="17.100000000000001" customHeight="1" thickBot="1" x14ac:dyDescent="0.3">
      <c r="A223" s="52"/>
      <c r="B223" s="67"/>
      <c r="C223" s="73"/>
      <c r="D223" s="74"/>
      <c r="E223" s="75"/>
      <c r="F223" s="73"/>
      <c r="G223" s="75"/>
      <c r="H223" s="60"/>
      <c r="I223" s="25"/>
      <c r="J223" s="89"/>
      <c r="K223" s="72"/>
      <c r="L223" s="19" t="s">
        <v>52</v>
      </c>
      <c r="M223" s="67"/>
      <c r="N223" s="92"/>
      <c r="O223" s="93"/>
      <c r="P223" s="92"/>
      <c r="Q223" s="93"/>
      <c r="R223" s="92"/>
      <c r="S223" s="95"/>
      <c r="T223" s="33"/>
      <c r="U223" s="79"/>
      <c r="V223" s="82"/>
      <c r="W223" s="82"/>
      <c r="X223" s="82"/>
      <c r="Y223" s="85"/>
      <c r="Z223" s="35"/>
      <c r="AA223" s="30"/>
      <c r="AB223" s="30"/>
      <c r="AC223" s="105"/>
      <c r="AD223" s="106"/>
      <c r="AE223" s="103"/>
    </row>
    <row r="225" spans="1:31" ht="17.100000000000001" customHeight="1" thickBot="1" x14ac:dyDescent="0.3"/>
    <row r="226" spans="1:31" ht="17.100000000000001" customHeight="1" x14ac:dyDescent="0.25">
      <c r="A226" s="50">
        <v>46023</v>
      </c>
      <c r="B226" s="53"/>
      <c r="C226" s="55"/>
      <c r="D226" s="56"/>
      <c r="E226" s="57"/>
      <c r="F226" s="55"/>
      <c r="G226" s="57"/>
      <c r="H226" s="58"/>
      <c r="I226" s="26"/>
      <c r="J226" s="61"/>
      <c r="K226" s="64"/>
      <c r="L226" s="11"/>
      <c r="M226" s="53"/>
      <c r="N226" s="42"/>
      <c r="O226" s="43"/>
      <c r="P226" s="36"/>
      <c r="Q226" s="43"/>
      <c r="R226" s="36"/>
      <c r="S226" s="37"/>
      <c r="T226" s="76">
        <f t="shared" ref="T226" si="68">R226-P226</f>
        <v>0</v>
      </c>
      <c r="U226" s="77"/>
      <c r="V226" s="80"/>
      <c r="W226" s="80"/>
      <c r="X226" s="80"/>
      <c r="Y226" s="83"/>
      <c r="Z226" s="86"/>
      <c r="AA226" s="48"/>
      <c r="AB226" s="48"/>
      <c r="AC226" s="96"/>
      <c r="AD226" s="99"/>
      <c r="AE226" s="101"/>
    </row>
    <row r="227" spans="1:31" ht="17.100000000000001" customHeight="1" x14ac:dyDescent="0.25">
      <c r="A227" s="51"/>
      <c r="B227" s="54"/>
      <c r="C227" s="68"/>
      <c r="D227" s="69"/>
      <c r="E227" s="70"/>
      <c r="F227" s="68"/>
      <c r="G227" s="70"/>
      <c r="H227" s="59"/>
      <c r="I227" s="24"/>
      <c r="J227" s="62"/>
      <c r="K227" s="65"/>
      <c r="L227" s="17"/>
      <c r="M227" s="54"/>
      <c r="N227" s="44"/>
      <c r="O227" s="45"/>
      <c r="P227" s="38"/>
      <c r="Q227" s="45"/>
      <c r="R227" s="38"/>
      <c r="S227" s="39"/>
      <c r="T227" s="32"/>
      <c r="U227" s="78"/>
      <c r="V227" s="81"/>
      <c r="W227" s="81"/>
      <c r="X227" s="81"/>
      <c r="Y227" s="84"/>
      <c r="Z227" s="34"/>
      <c r="AA227" s="29"/>
      <c r="AB227" s="29"/>
      <c r="AC227" s="97"/>
      <c r="AD227" s="100"/>
      <c r="AE227" s="102"/>
    </row>
    <row r="228" spans="1:31" ht="17.100000000000001" customHeight="1" x14ac:dyDescent="0.25">
      <c r="A228" s="51"/>
      <c r="B228" s="66"/>
      <c r="C228" s="68"/>
      <c r="D228" s="69"/>
      <c r="E228" s="70"/>
      <c r="F228" s="68"/>
      <c r="G228" s="70"/>
      <c r="H228" s="59"/>
      <c r="I228" s="27"/>
      <c r="J228" s="63"/>
      <c r="K228" s="71"/>
      <c r="L228" s="18"/>
      <c r="M228" s="66"/>
      <c r="N228" s="46"/>
      <c r="O228" s="47"/>
      <c r="P228" s="40"/>
      <c r="Q228" s="47"/>
      <c r="R228" s="40"/>
      <c r="S228" s="41"/>
      <c r="T228" s="31">
        <f>(P229-P226)+(R226-R229)</f>
        <v>0</v>
      </c>
      <c r="U228" s="78"/>
      <c r="V228" s="81"/>
      <c r="W228" s="81"/>
      <c r="X228" s="81"/>
      <c r="Y228" s="84"/>
      <c r="Z228" s="87"/>
      <c r="AA228" s="49"/>
      <c r="AB228" s="49"/>
      <c r="AC228" s="98"/>
      <c r="AD228" s="104"/>
      <c r="AE228" s="102"/>
    </row>
    <row r="229" spans="1:31" ht="17.100000000000001" customHeight="1" x14ac:dyDescent="0.25">
      <c r="A229" s="51"/>
      <c r="B229" s="54"/>
      <c r="C229" s="68"/>
      <c r="D229" s="69"/>
      <c r="E229" s="70"/>
      <c r="F229" s="68"/>
      <c r="G229" s="70"/>
      <c r="H229" s="59"/>
      <c r="I229" s="23"/>
      <c r="J229" s="88"/>
      <c r="K229" s="65"/>
      <c r="L229" s="18"/>
      <c r="M229" s="54"/>
      <c r="N229" s="90">
        <f>(P226-N226)+(P229-P226)+(R226-R229)</f>
        <v>0</v>
      </c>
      <c r="O229" s="91"/>
      <c r="P229" s="90"/>
      <c r="Q229" s="91"/>
      <c r="R229" s="90"/>
      <c r="S229" s="94"/>
      <c r="T229" s="32"/>
      <c r="U229" s="78"/>
      <c r="V229" s="81"/>
      <c r="W229" s="81"/>
      <c r="X229" s="81"/>
      <c r="Y229" s="84"/>
      <c r="Z229" s="34"/>
      <c r="AA229" s="28"/>
      <c r="AB229" s="28"/>
      <c r="AC229" s="97"/>
      <c r="AD229" s="100"/>
      <c r="AE229" s="102"/>
    </row>
    <row r="230" spans="1:31" ht="17.100000000000001" customHeight="1" x14ac:dyDescent="0.25">
      <c r="A230" s="51"/>
      <c r="B230" s="66"/>
      <c r="C230" s="68"/>
      <c r="D230" s="69"/>
      <c r="E230" s="70"/>
      <c r="F230" s="68"/>
      <c r="G230" s="70"/>
      <c r="H230" s="59"/>
      <c r="I230" s="24"/>
      <c r="J230" s="62"/>
      <c r="K230" s="71" t="s">
        <v>51</v>
      </c>
      <c r="L230" s="16" t="s">
        <v>51</v>
      </c>
      <c r="M230" s="66" t="s">
        <v>51</v>
      </c>
      <c r="N230" s="38"/>
      <c r="O230" s="45"/>
      <c r="P230" s="38"/>
      <c r="Q230" s="45"/>
      <c r="R230" s="38"/>
      <c r="S230" s="39"/>
      <c r="T230" s="31">
        <f t="shared" ref="T230" si="69">R229-P229</f>
        <v>0</v>
      </c>
      <c r="U230" s="78"/>
      <c r="V230" s="81"/>
      <c r="W230" s="81"/>
      <c r="X230" s="81"/>
      <c r="Y230" s="84"/>
      <c r="Z230" s="34"/>
      <c r="AA230" s="29"/>
      <c r="AB230" s="29"/>
      <c r="AC230" s="97"/>
      <c r="AD230" s="104"/>
      <c r="AE230" s="102"/>
    </row>
    <row r="231" spans="1:31" ht="17.100000000000001" customHeight="1" thickBot="1" x14ac:dyDescent="0.3">
      <c r="A231" s="52"/>
      <c r="B231" s="67"/>
      <c r="C231" s="73"/>
      <c r="D231" s="74"/>
      <c r="E231" s="75"/>
      <c r="F231" s="73"/>
      <c r="G231" s="75"/>
      <c r="H231" s="60"/>
      <c r="I231" s="25"/>
      <c r="J231" s="89"/>
      <c r="K231" s="72"/>
      <c r="L231" s="19" t="s">
        <v>52</v>
      </c>
      <c r="M231" s="67"/>
      <c r="N231" s="92"/>
      <c r="O231" s="93"/>
      <c r="P231" s="92"/>
      <c r="Q231" s="93"/>
      <c r="R231" s="92"/>
      <c r="S231" s="95"/>
      <c r="T231" s="33"/>
      <c r="U231" s="79"/>
      <c r="V231" s="82"/>
      <c r="W231" s="82"/>
      <c r="X231" s="82"/>
      <c r="Y231" s="85"/>
      <c r="Z231" s="35"/>
      <c r="AA231" s="30"/>
      <c r="AB231" s="30"/>
      <c r="AC231" s="105"/>
      <c r="AD231" s="106"/>
      <c r="AE231" s="103"/>
    </row>
    <row r="232" spans="1:31" ht="17.100000000000001" customHeight="1" x14ac:dyDescent="0.25">
      <c r="A232" s="50">
        <v>46023</v>
      </c>
      <c r="B232" s="53"/>
      <c r="C232" s="55"/>
      <c r="D232" s="56"/>
      <c r="E232" s="57"/>
      <c r="F232" s="55"/>
      <c r="G232" s="57"/>
      <c r="H232" s="58"/>
      <c r="I232" s="26"/>
      <c r="J232" s="61"/>
      <c r="K232" s="64"/>
      <c r="L232" s="11"/>
      <c r="M232" s="53"/>
      <c r="N232" s="42"/>
      <c r="O232" s="43"/>
      <c r="P232" s="36"/>
      <c r="Q232" s="43"/>
      <c r="R232" s="36"/>
      <c r="S232" s="37"/>
      <c r="T232" s="76">
        <f t="shared" ref="T232" si="70">R232-P232</f>
        <v>0</v>
      </c>
      <c r="U232" s="77"/>
      <c r="V232" s="80"/>
      <c r="W232" s="80"/>
      <c r="X232" s="80"/>
      <c r="Y232" s="83"/>
      <c r="Z232" s="86"/>
      <c r="AA232" s="48"/>
      <c r="AB232" s="48"/>
      <c r="AC232" s="96"/>
      <c r="AD232" s="99"/>
      <c r="AE232" s="101"/>
    </row>
    <row r="233" spans="1:31" ht="17.100000000000001" customHeight="1" x14ac:dyDescent="0.25">
      <c r="A233" s="51"/>
      <c r="B233" s="54"/>
      <c r="C233" s="68"/>
      <c r="D233" s="69"/>
      <c r="E233" s="70"/>
      <c r="F233" s="68"/>
      <c r="G233" s="70"/>
      <c r="H233" s="59"/>
      <c r="I233" s="24"/>
      <c r="J233" s="62"/>
      <c r="K233" s="65"/>
      <c r="L233" s="17"/>
      <c r="M233" s="54"/>
      <c r="N233" s="44"/>
      <c r="O233" s="45"/>
      <c r="P233" s="38"/>
      <c r="Q233" s="45"/>
      <c r="R233" s="38"/>
      <c r="S233" s="39"/>
      <c r="T233" s="32"/>
      <c r="U233" s="78"/>
      <c r="V233" s="81"/>
      <c r="W233" s="81"/>
      <c r="X233" s="81"/>
      <c r="Y233" s="84"/>
      <c r="Z233" s="34"/>
      <c r="AA233" s="29"/>
      <c r="AB233" s="29"/>
      <c r="AC233" s="97"/>
      <c r="AD233" s="100"/>
      <c r="AE233" s="102"/>
    </row>
    <row r="234" spans="1:31" ht="17.100000000000001" customHeight="1" x14ac:dyDescent="0.25">
      <c r="A234" s="51"/>
      <c r="B234" s="66"/>
      <c r="C234" s="68"/>
      <c r="D234" s="69"/>
      <c r="E234" s="70"/>
      <c r="F234" s="68"/>
      <c r="G234" s="70"/>
      <c r="H234" s="59"/>
      <c r="I234" s="27"/>
      <c r="J234" s="63"/>
      <c r="K234" s="71"/>
      <c r="L234" s="18"/>
      <c r="M234" s="66"/>
      <c r="N234" s="46"/>
      <c r="O234" s="47"/>
      <c r="P234" s="40"/>
      <c r="Q234" s="47"/>
      <c r="R234" s="40"/>
      <c r="S234" s="41"/>
      <c r="T234" s="31">
        <f>(P235-P232)+(R232-R235)</f>
        <v>0</v>
      </c>
      <c r="U234" s="78"/>
      <c r="V234" s="81"/>
      <c r="W234" s="81"/>
      <c r="X234" s="81"/>
      <c r="Y234" s="84"/>
      <c r="Z234" s="87"/>
      <c r="AA234" s="49"/>
      <c r="AB234" s="49"/>
      <c r="AC234" s="98"/>
      <c r="AD234" s="104"/>
      <c r="AE234" s="102"/>
    </row>
    <row r="235" spans="1:31" ht="17.100000000000001" customHeight="1" x14ac:dyDescent="0.25">
      <c r="A235" s="51"/>
      <c r="B235" s="54"/>
      <c r="C235" s="68"/>
      <c r="D235" s="69"/>
      <c r="E235" s="70"/>
      <c r="F235" s="68"/>
      <c r="G235" s="70"/>
      <c r="H235" s="59"/>
      <c r="I235" s="23"/>
      <c r="J235" s="88"/>
      <c r="K235" s="65"/>
      <c r="L235" s="18"/>
      <c r="M235" s="54"/>
      <c r="N235" s="90">
        <f>(P232-N232)+(P235-P232)+(R232-R235)</f>
        <v>0</v>
      </c>
      <c r="O235" s="91"/>
      <c r="P235" s="90"/>
      <c r="Q235" s="91"/>
      <c r="R235" s="90"/>
      <c r="S235" s="94"/>
      <c r="T235" s="32"/>
      <c r="U235" s="78"/>
      <c r="V235" s="81"/>
      <c r="W235" s="81"/>
      <c r="X235" s="81"/>
      <c r="Y235" s="84"/>
      <c r="Z235" s="34"/>
      <c r="AA235" s="28"/>
      <c r="AB235" s="28"/>
      <c r="AC235" s="97"/>
      <c r="AD235" s="100"/>
      <c r="AE235" s="102"/>
    </row>
    <row r="236" spans="1:31" ht="17.100000000000001" customHeight="1" x14ac:dyDescent="0.25">
      <c r="A236" s="51"/>
      <c r="B236" s="66"/>
      <c r="C236" s="68"/>
      <c r="D236" s="69"/>
      <c r="E236" s="70"/>
      <c r="F236" s="68"/>
      <c r="G236" s="70"/>
      <c r="H236" s="59"/>
      <c r="I236" s="24"/>
      <c r="J236" s="62"/>
      <c r="K236" s="71" t="s">
        <v>51</v>
      </c>
      <c r="L236" s="16" t="s">
        <v>51</v>
      </c>
      <c r="M236" s="66" t="s">
        <v>51</v>
      </c>
      <c r="N236" s="38"/>
      <c r="O236" s="45"/>
      <c r="P236" s="38"/>
      <c r="Q236" s="45"/>
      <c r="R236" s="38"/>
      <c r="S236" s="39"/>
      <c r="T236" s="31">
        <f t="shared" ref="T236" si="71">R235-P235</f>
        <v>0</v>
      </c>
      <c r="U236" s="78"/>
      <c r="V236" s="81"/>
      <c r="W236" s="81"/>
      <c r="X236" s="81"/>
      <c r="Y236" s="84"/>
      <c r="Z236" s="34"/>
      <c r="AA236" s="29"/>
      <c r="AB236" s="29"/>
      <c r="AC236" s="97"/>
      <c r="AD236" s="104"/>
      <c r="AE236" s="102"/>
    </row>
    <row r="237" spans="1:31" ht="17.100000000000001" customHeight="1" thickBot="1" x14ac:dyDescent="0.3">
      <c r="A237" s="52"/>
      <c r="B237" s="67"/>
      <c r="C237" s="73"/>
      <c r="D237" s="74"/>
      <c r="E237" s="75"/>
      <c r="F237" s="73"/>
      <c r="G237" s="75"/>
      <c r="H237" s="60"/>
      <c r="I237" s="25"/>
      <c r="J237" s="89"/>
      <c r="K237" s="72"/>
      <c r="L237" s="19" t="s">
        <v>52</v>
      </c>
      <c r="M237" s="67"/>
      <c r="N237" s="92"/>
      <c r="O237" s="93"/>
      <c r="P237" s="92"/>
      <c r="Q237" s="93"/>
      <c r="R237" s="92"/>
      <c r="S237" s="95"/>
      <c r="T237" s="33"/>
      <c r="U237" s="79"/>
      <c r="V237" s="82"/>
      <c r="W237" s="82"/>
      <c r="X237" s="82"/>
      <c r="Y237" s="85"/>
      <c r="Z237" s="35"/>
      <c r="AA237" s="30"/>
      <c r="AB237" s="30"/>
      <c r="AC237" s="105"/>
      <c r="AD237" s="106"/>
      <c r="AE237" s="103"/>
    </row>
    <row r="238" spans="1:31" ht="17.100000000000001" customHeight="1" x14ac:dyDescent="0.25">
      <c r="A238" s="50">
        <v>46023</v>
      </c>
      <c r="B238" s="53"/>
      <c r="C238" s="55"/>
      <c r="D238" s="56"/>
      <c r="E238" s="57"/>
      <c r="F238" s="55"/>
      <c r="G238" s="57"/>
      <c r="H238" s="58"/>
      <c r="I238" s="26"/>
      <c r="J238" s="61"/>
      <c r="K238" s="64"/>
      <c r="L238" s="11"/>
      <c r="M238" s="53"/>
      <c r="N238" s="42"/>
      <c r="O238" s="43"/>
      <c r="P238" s="36"/>
      <c r="Q238" s="43"/>
      <c r="R238" s="36"/>
      <c r="S238" s="37"/>
      <c r="T238" s="76">
        <f t="shared" ref="T238" si="72">R238-P238</f>
        <v>0</v>
      </c>
      <c r="U238" s="77"/>
      <c r="V238" s="80"/>
      <c r="W238" s="80"/>
      <c r="X238" s="80"/>
      <c r="Y238" s="83"/>
      <c r="Z238" s="86"/>
      <c r="AA238" s="48"/>
      <c r="AB238" s="48"/>
      <c r="AC238" s="96"/>
      <c r="AD238" s="99"/>
      <c r="AE238" s="101"/>
    </row>
    <row r="239" spans="1:31" ht="17.100000000000001" customHeight="1" x14ac:dyDescent="0.25">
      <c r="A239" s="51"/>
      <c r="B239" s="54"/>
      <c r="C239" s="68"/>
      <c r="D239" s="69"/>
      <c r="E239" s="70"/>
      <c r="F239" s="68"/>
      <c r="G239" s="70"/>
      <c r="H239" s="59"/>
      <c r="I239" s="24"/>
      <c r="J239" s="62"/>
      <c r="K239" s="65"/>
      <c r="L239" s="17"/>
      <c r="M239" s="54"/>
      <c r="N239" s="44"/>
      <c r="O239" s="45"/>
      <c r="P239" s="38"/>
      <c r="Q239" s="45"/>
      <c r="R239" s="38"/>
      <c r="S239" s="39"/>
      <c r="T239" s="32"/>
      <c r="U239" s="78"/>
      <c r="V239" s="81"/>
      <c r="W239" s="81"/>
      <c r="X239" s="81"/>
      <c r="Y239" s="84"/>
      <c r="Z239" s="34"/>
      <c r="AA239" s="29"/>
      <c r="AB239" s="29"/>
      <c r="AC239" s="97"/>
      <c r="AD239" s="100"/>
      <c r="AE239" s="102"/>
    </row>
    <row r="240" spans="1:31" ht="17.100000000000001" customHeight="1" x14ac:dyDescent="0.25">
      <c r="A240" s="51"/>
      <c r="B240" s="66"/>
      <c r="C240" s="68"/>
      <c r="D240" s="69"/>
      <c r="E240" s="70"/>
      <c r="F240" s="68"/>
      <c r="G240" s="70"/>
      <c r="H240" s="59"/>
      <c r="I240" s="27"/>
      <c r="J240" s="63"/>
      <c r="K240" s="71"/>
      <c r="L240" s="18"/>
      <c r="M240" s="66"/>
      <c r="N240" s="46"/>
      <c r="O240" s="47"/>
      <c r="P240" s="40"/>
      <c r="Q240" s="47"/>
      <c r="R240" s="40"/>
      <c r="S240" s="41"/>
      <c r="T240" s="31">
        <f>(P241-P238)+(R238-R241)</f>
        <v>0</v>
      </c>
      <c r="U240" s="78"/>
      <c r="V240" s="81"/>
      <c r="W240" s="81"/>
      <c r="X240" s="81"/>
      <c r="Y240" s="84"/>
      <c r="Z240" s="87"/>
      <c r="AA240" s="49"/>
      <c r="AB240" s="49"/>
      <c r="AC240" s="98"/>
      <c r="AD240" s="104"/>
      <c r="AE240" s="102"/>
    </row>
    <row r="241" spans="1:31" ht="17.100000000000001" customHeight="1" x14ac:dyDescent="0.25">
      <c r="A241" s="51"/>
      <c r="B241" s="54"/>
      <c r="C241" s="68"/>
      <c r="D241" s="69"/>
      <c r="E241" s="70"/>
      <c r="F241" s="68"/>
      <c r="G241" s="70"/>
      <c r="H241" s="59"/>
      <c r="I241" s="23"/>
      <c r="J241" s="88"/>
      <c r="K241" s="65"/>
      <c r="L241" s="18"/>
      <c r="M241" s="54"/>
      <c r="N241" s="90">
        <f>(P238-N238)+(P241-P238)+(R238-R241)</f>
        <v>0</v>
      </c>
      <c r="O241" s="91"/>
      <c r="P241" s="90"/>
      <c r="Q241" s="91"/>
      <c r="R241" s="90"/>
      <c r="S241" s="94"/>
      <c r="T241" s="32"/>
      <c r="U241" s="78"/>
      <c r="V241" s="81"/>
      <c r="W241" s="81"/>
      <c r="X241" s="81"/>
      <c r="Y241" s="84"/>
      <c r="Z241" s="34"/>
      <c r="AA241" s="28"/>
      <c r="AB241" s="28"/>
      <c r="AC241" s="97"/>
      <c r="AD241" s="100"/>
      <c r="AE241" s="102"/>
    </row>
    <row r="242" spans="1:31" ht="17.100000000000001" customHeight="1" x14ac:dyDescent="0.25">
      <c r="A242" s="51"/>
      <c r="B242" s="66"/>
      <c r="C242" s="68"/>
      <c r="D242" s="69"/>
      <c r="E242" s="70"/>
      <c r="F242" s="68"/>
      <c r="G242" s="70"/>
      <c r="H242" s="59"/>
      <c r="I242" s="24"/>
      <c r="J242" s="62"/>
      <c r="K242" s="71" t="s">
        <v>51</v>
      </c>
      <c r="L242" s="16" t="s">
        <v>51</v>
      </c>
      <c r="M242" s="66" t="s">
        <v>51</v>
      </c>
      <c r="N242" s="38"/>
      <c r="O242" s="45"/>
      <c r="P242" s="38"/>
      <c r="Q242" s="45"/>
      <c r="R242" s="38"/>
      <c r="S242" s="39"/>
      <c r="T242" s="31">
        <f t="shared" ref="T242" si="73">R241-P241</f>
        <v>0</v>
      </c>
      <c r="U242" s="78"/>
      <c r="V242" s="81"/>
      <c r="W242" s="81"/>
      <c r="X242" s="81"/>
      <c r="Y242" s="84"/>
      <c r="Z242" s="34"/>
      <c r="AA242" s="29"/>
      <c r="AB242" s="29"/>
      <c r="AC242" s="97"/>
      <c r="AD242" s="104"/>
      <c r="AE242" s="102"/>
    </row>
    <row r="243" spans="1:31" ht="17.100000000000001" customHeight="1" thickBot="1" x14ac:dyDescent="0.3">
      <c r="A243" s="52"/>
      <c r="B243" s="67"/>
      <c r="C243" s="73"/>
      <c r="D243" s="74"/>
      <c r="E243" s="75"/>
      <c r="F243" s="73"/>
      <c r="G243" s="75"/>
      <c r="H243" s="60"/>
      <c r="I243" s="25"/>
      <c r="J243" s="89"/>
      <c r="K243" s="72"/>
      <c r="L243" s="19" t="s">
        <v>52</v>
      </c>
      <c r="M243" s="67"/>
      <c r="N243" s="92"/>
      <c r="O243" s="93"/>
      <c r="P243" s="92"/>
      <c r="Q243" s="93"/>
      <c r="R243" s="92"/>
      <c r="S243" s="95"/>
      <c r="T243" s="33"/>
      <c r="U243" s="79"/>
      <c r="V243" s="82"/>
      <c r="W243" s="82"/>
      <c r="X243" s="82"/>
      <c r="Y243" s="85"/>
      <c r="Z243" s="35"/>
      <c r="AA243" s="30"/>
      <c r="AB243" s="30"/>
      <c r="AC243" s="105"/>
      <c r="AD243" s="106"/>
      <c r="AE243" s="103"/>
    </row>
    <row r="244" spans="1:31" ht="17.100000000000001" customHeight="1" x14ac:dyDescent="0.25">
      <c r="A244" s="50">
        <v>46023</v>
      </c>
      <c r="B244" s="53"/>
      <c r="C244" s="55"/>
      <c r="D244" s="56"/>
      <c r="E244" s="57"/>
      <c r="F244" s="55"/>
      <c r="G244" s="57"/>
      <c r="H244" s="58"/>
      <c r="I244" s="26"/>
      <c r="J244" s="61"/>
      <c r="K244" s="64"/>
      <c r="L244" s="11"/>
      <c r="M244" s="53"/>
      <c r="N244" s="42"/>
      <c r="O244" s="43"/>
      <c r="P244" s="36"/>
      <c r="Q244" s="43"/>
      <c r="R244" s="36"/>
      <c r="S244" s="37"/>
      <c r="T244" s="76">
        <f t="shared" ref="T244" si="74">R244-P244</f>
        <v>0</v>
      </c>
      <c r="U244" s="77"/>
      <c r="V244" s="80"/>
      <c r="W244" s="80"/>
      <c r="X244" s="80"/>
      <c r="Y244" s="83"/>
      <c r="Z244" s="86"/>
      <c r="AA244" s="48"/>
      <c r="AB244" s="48"/>
      <c r="AC244" s="96"/>
      <c r="AD244" s="99"/>
      <c r="AE244" s="101"/>
    </row>
    <row r="245" spans="1:31" ht="17.100000000000001" customHeight="1" x14ac:dyDescent="0.25">
      <c r="A245" s="51"/>
      <c r="B245" s="54"/>
      <c r="C245" s="68"/>
      <c r="D245" s="69"/>
      <c r="E245" s="70"/>
      <c r="F245" s="68"/>
      <c r="G245" s="70"/>
      <c r="H245" s="59"/>
      <c r="I245" s="24"/>
      <c r="J245" s="62"/>
      <c r="K245" s="65"/>
      <c r="L245" s="17"/>
      <c r="M245" s="54"/>
      <c r="N245" s="44"/>
      <c r="O245" s="45"/>
      <c r="P245" s="38"/>
      <c r="Q245" s="45"/>
      <c r="R245" s="38"/>
      <c r="S245" s="39"/>
      <c r="T245" s="32"/>
      <c r="U245" s="78"/>
      <c r="V245" s="81"/>
      <c r="W245" s="81"/>
      <c r="X245" s="81"/>
      <c r="Y245" s="84"/>
      <c r="Z245" s="34"/>
      <c r="AA245" s="29"/>
      <c r="AB245" s="29"/>
      <c r="AC245" s="97"/>
      <c r="AD245" s="100"/>
      <c r="AE245" s="102"/>
    </row>
    <row r="246" spans="1:31" ht="17.100000000000001" customHeight="1" x14ac:dyDescent="0.25">
      <c r="A246" s="51"/>
      <c r="B246" s="66"/>
      <c r="C246" s="68"/>
      <c r="D246" s="69"/>
      <c r="E246" s="70"/>
      <c r="F246" s="68"/>
      <c r="G246" s="70"/>
      <c r="H246" s="59"/>
      <c r="I246" s="27"/>
      <c r="J246" s="63"/>
      <c r="K246" s="71"/>
      <c r="L246" s="18"/>
      <c r="M246" s="66"/>
      <c r="N246" s="46"/>
      <c r="O246" s="47"/>
      <c r="P246" s="40"/>
      <c r="Q246" s="47"/>
      <c r="R246" s="40"/>
      <c r="S246" s="41"/>
      <c r="T246" s="31">
        <f>(P247-P244)+(R244-R247)</f>
        <v>0</v>
      </c>
      <c r="U246" s="78"/>
      <c r="V246" s="81"/>
      <c r="W246" s="81"/>
      <c r="X246" s="81"/>
      <c r="Y246" s="84"/>
      <c r="Z246" s="87"/>
      <c r="AA246" s="49"/>
      <c r="AB246" s="49"/>
      <c r="AC246" s="98"/>
      <c r="AD246" s="104"/>
      <c r="AE246" s="102"/>
    </row>
    <row r="247" spans="1:31" ht="17.100000000000001" customHeight="1" x14ac:dyDescent="0.25">
      <c r="A247" s="51"/>
      <c r="B247" s="54"/>
      <c r="C247" s="68"/>
      <c r="D247" s="69"/>
      <c r="E247" s="70"/>
      <c r="F247" s="68"/>
      <c r="G247" s="70"/>
      <c r="H247" s="59"/>
      <c r="I247" s="23"/>
      <c r="J247" s="88"/>
      <c r="K247" s="65"/>
      <c r="L247" s="18"/>
      <c r="M247" s="54"/>
      <c r="N247" s="90">
        <f>(P244-N244)+(P247-P244)+(R244-R247)</f>
        <v>0</v>
      </c>
      <c r="O247" s="91"/>
      <c r="P247" s="90"/>
      <c r="Q247" s="91"/>
      <c r="R247" s="90"/>
      <c r="S247" s="94"/>
      <c r="T247" s="32"/>
      <c r="U247" s="78"/>
      <c r="V247" s="81"/>
      <c r="W247" s="81"/>
      <c r="X247" s="81"/>
      <c r="Y247" s="84"/>
      <c r="Z247" s="34"/>
      <c r="AA247" s="28"/>
      <c r="AB247" s="28"/>
      <c r="AC247" s="97"/>
      <c r="AD247" s="100"/>
      <c r="AE247" s="102"/>
    </row>
    <row r="248" spans="1:31" ht="17.100000000000001" customHeight="1" x14ac:dyDescent="0.25">
      <c r="A248" s="51"/>
      <c r="B248" s="66"/>
      <c r="C248" s="68"/>
      <c r="D248" s="69"/>
      <c r="E248" s="70"/>
      <c r="F248" s="68"/>
      <c r="G248" s="70"/>
      <c r="H248" s="59"/>
      <c r="I248" s="24"/>
      <c r="J248" s="62"/>
      <c r="K248" s="71" t="s">
        <v>51</v>
      </c>
      <c r="L248" s="16" t="s">
        <v>51</v>
      </c>
      <c r="M248" s="66" t="s">
        <v>51</v>
      </c>
      <c r="N248" s="38"/>
      <c r="O248" s="45"/>
      <c r="P248" s="38"/>
      <c r="Q248" s="45"/>
      <c r="R248" s="38"/>
      <c r="S248" s="39"/>
      <c r="T248" s="31">
        <f t="shared" ref="T248" si="75">R247-P247</f>
        <v>0</v>
      </c>
      <c r="U248" s="78"/>
      <c r="V248" s="81"/>
      <c r="W248" s="81"/>
      <c r="X248" s="81"/>
      <c r="Y248" s="84"/>
      <c r="Z248" s="34"/>
      <c r="AA248" s="29"/>
      <c r="AB248" s="29"/>
      <c r="AC248" s="97"/>
      <c r="AD248" s="104"/>
      <c r="AE248" s="102"/>
    </row>
    <row r="249" spans="1:31" ht="17.100000000000001" customHeight="1" thickBot="1" x14ac:dyDescent="0.3">
      <c r="A249" s="52"/>
      <c r="B249" s="67"/>
      <c r="C249" s="73"/>
      <c r="D249" s="74"/>
      <c r="E249" s="75"/>
      <c r="F249" s="73"/>
      <c r="G249" s="75"/>
      <c r="H249" s="60"/>
      <c r="I249" s="25"/>
      <c r="J249" s="89"/>
      <c r="K249" s="72"/>
      <c r="L249" s="19" t="s">
        <v>52</v>
      </c>
      <c r="M249" s="67"/>
      <c r="N249" s="92"/>
      <c r="O249" s="93"/>
      <c r="P249" s="92"/>
      <c r="Q249" s="93"/>
      <c r="R249" s="92"/>
      <c r="S249" s="95"/>
      <c r="T249" s="33"/>
      <c r="U249" s="79"/>
      <c r="V249" s="82"/>
      <c r="W249" s="82"/>
      <c r="X249" s="82"/>
      <c r="Y249" s="85"/>
      <c r="Z249" s="35"/>
      <c r="AA249" s="30"/>
      <c r="AB249" s="30"/>
      <c r="AC249" s="105"/>
      <c r="AD249" s="106"/>
      <c r="AE249" s="103"/>
    </row>
    <row r="250" spans="1:31" ht="17.100000000000001" customHeight="1" x14ac:dyDescent="0.25">
      <c r="A250" s="50">
        <v>46023</v>
      </c>
      <c r="B250" s="53"/>
      <c r="C250" s="55"/>
      <c r="D250" s="56"/>
      <c r="E250" s="57"/>
      <c r="F250" s="55"/>
      <c r="G250" s="57"/>
      <c r="H250" s="58"/>
      <c r="I250" s="26"/>
      <c r="J250" s="61"/>
      <c r="K250" s="64"/>
      <c r="L250" s="11"/>
      <c r="M250" s="53"/>
      <c r="N250" s="42"/>
      <c r="O250" s="43"/>
      <c r="P250" s="36"/>
      <c r="Q250" s="43"/>
      <c r="R250" s="36"/>
      <c r="S250" s="37"/>
      <c r="T250" s="76">
        <f t="shared" ref="T250" si="76">R250-P250</f>
        <v>0</v>
      </c>
      <c r="U250" s="77"/>
      <c r="V250" s="80"/>
      <c r="W250" s="80"/>
      <c r="X250" s="80"/>
      <c r="Y250" s="83"/>
      <c r="Z250" s="86"/>
      <c r="AA250" s="48"/>
      <c r="AB250" s="48"/>
      <c r="AC250" s="96"/>
      <c r="AD250" s="99"/>
      <c r="AE250" s="101"/>
    </row>
    <row r="251" spans="1:31" ht="17.100000000000001" customHeight="1" x14ac:dyDescent="0.25">
      <c r="A251" s="51"/>
      <c r="B251" s="54"/>
      <c r="C251" s="68"/>
      <c r="D251" s="69"/>
      <c r="E251" s="70"/>
      <c r="F251" s="68"/>
      <c r="G251" s="70"/>
      <c r="H251" s="59"/>
      <c r="I251" s="24"/>
      <c r="J251" s="62"/>
      <c r="K251" s="65"/>
      <c r="L251" s="17"/>
      <c r="M251" s="54"/>
      <c r="N251" s="44"/>
      <c r="O251" s="45"/>
      <c r="P251" s="38"/>
      <c r="Q251" s="45"/>
      <c r="R251" s="38"/>
      <c r="S251" s="39"/>
      <c r="T251" s="32"/>
      <c r="U251" s="78"/>
      <c r="V251" s="81"/>
      <c r="W251" s="81"/>
      <c r="X251" s="81"/>
      <c r="Y251" s="84"/>
      <c r="Z251" s="34"/>
      <c r="AA251" s="29"/>
      <c r="AB251" s="29"/>
      <c r="AC251" s="97"/>
      <c r="AD251" s="100"/>
      <c r="AE251" s="102"/>
    </row>
    <row r="252" spans="1:31" ht="17.100000000000001" customHeight="1" x14ac:dyDescent="0.25">
      <c r="A252" s="51"/>
      <c r="B252" s="66"/>
      <c r="C252" s="68"/>
      <c r="D252" s="69"/>
      <c r="E252" s="70"/>
      <c r="F252" s="68"/>
      <c r="G252" s="70"/>
      <c r="H252" s="59"/>
      <c r="I252" s="27"/>
      <c r="J252" s="63"/>
      <c r="K252" s="71"/>
      <c r="L252" s="18"/>
      <c r="M252" s="66"/>
      <c r="N252" s="46"/>
      <c r="O252" s="47"/>
      <c r="P252" s="40"/>
      <c r="Q252" s="47"/>
      <c r="R252" s="40"/>
      <c r="S252" s="41"/>
      <c r="T252" s="31">
        <f>(P253-P250)+(R250-R253)</f>
        <v>0</v>
      </c>
      <c r="U252" s="78"/>
      <c r="V252" s="81"/>
      <c r="W252" s="81"/>
      <c r="X252" s="81"/>
      <c r="Y252" s="84"/>
      <c r="Z252" s="87"/>
      <c r="AA252" s="49"/>
      <c r="AB252" s="49"/>
      <c r="AC252" s="98"/>
      <c r="AD252" s="104"/>
      <c r="AE252" s="102"/>
    </row>
    <row r="253" spans="1:31" ht="17.100000000000001" customHeight="1" x14ac:dyDescent="0.25">
      <c r="A253" s="51"/>
      <c r="B253" s="54"/>
      <c r="C253" s="68"/>
      <c r="D253" s="69"/>
      <c r="E253" s="70"/>
      <c r="F253" s="68"/>
      <c r="G253" s="70"/>
      <c r="H253" s="59"/>
      <c r="I253" s="23"/>
      <c r="J253" s="88"/>
      <c r="K253" s="65"/>
      <c r="L253" s="18"/>
      <c r="M253" s="54"/>
      <c r="N253" s="90">
        <f>(P250-N250)+(P253-P250)+(R250-R253)</f>
        <v>0</v>
      </c>
      <c r="O253" s="91"/>
      <c r="P253" s="90"/>
      <c r="Q253" s="91"/>
      <c r="R253" s="90"/>
      <c r="S253" s="94"/>
      <c r="T253" s="32"/>
      <c r="U253" s="78"/>
      <c r="V253" s="81"/>
      <c r="W253" s="81"/>
      <c r="X253" s="81"/>
      <c r="Y253" s="84"/>
      <c r="Z253" s="34"/>
      <c r="AA253" s="28"/>
      <c r="AB253" s="28"/>
      <c r="AC253" s="97"/>
      <c r="AD253" s="100"/>
      <c r="AE253" s="102"/>
    </row>
    <row r="254" spans="1:31" ht="17.100000000000001" customHeight="1" x14ac:dyDescent="0.25">
      <c r="A254" s="51"/>
      <c r="B254" s="66"/>
      <c r="C254" s="68"/>
      <c r="D254" s="69"/>
      <c r="E254" s="70"/>
      <c r="F254" s="68"/>
      <c r="G254" s="70"/>
      <c r="H254" s="59"/>
      <c r="I254" s="24"/>
      <c r="J254" s="62"/>
      <c r="K254" s="71" t="s">
        <v>51</v>
      </c>
      <c r="L254" s="16" t="s">
        <v>51</v>
      </c>
      <c r="M254" s="66" t="s">
        <v>51</v>
      </c>
      <c r="N254" s="38"/>
      <c r="O254" s="45"/>
      <c r="P254" s="38"/>
      <c r="Q254" s="45"/>
      <c r="R254" s="38"/>
      <c r="S254" s="39"/>
      <c r="T254" s="31">
        <f t="shared" ref="T254" si="77">R253-P253</f>
        <v>0</v>
      </c>
      <c r="U254" s="78"/>
      <c r="V254" s="81"/>
      <c r="W254" s="81"/>
      <c r="X254" s="81"/>
      <c r="Y254" s="84"/>
      <c r="Z254" s="34"/>
      <c r="AA254" s="29"/>
      <c r="AB254" s="29"/>
      <c r="AC254" s="97"/>
      <c r="AD254" s="104"/>
      <c r="AE254" s="102"/>
    </row>
    <row r="255" spans="1:31" ht="17.100000000000001" customHeight="1" thickBot="1" x14ac:dyDescent="0.3">
      <c r="A255" s="52"/>
      <c r="B255" s="67"/>
      <c r="C255" s="73"/>
      <c r="D255" s="74"/>
      <c r="E255" s="75"/>
      <c r="F255" s="73"/>
      <c r="G255" s="75"/>
      <c r="H255" s="60"/>
      <c r="I255" s="25"/>
      <c r="J255" s="89"/>
      <c r="K255" s="72"/>
      <c r="L255" s="19" t="s">
        <v>52</v>
      </c>
      <c r="M255" s="67"/>
      <c r="N255" s="92"/>
      <c r="O255" s="93"/>
      <c r="P255" s="92"/>
      <c r="Q255" s="93"/>
      <c r="R255" s="92"/>
      <c r="S255" s="95"/>
      <c r="T255" s="33"/>
      <c r="U255" s="79"/>
      <c r="V255" s="82"/>
      <c r="W255" s="82"/>
      <c r="X255" s="82"/>
      <c r="Y255" s="85"/>
      <c r="Z255" s="35"/>
      <c r="AA255" s="30"/>
      <c r="AB255" s="30"/>
      <c r="AC255" s="105"/>
      <c r="AD255" s="106"/>
      <c r="AE255" s="103"/>
    </row>
    <row r="257" spans="1:31" ht="17.100000000000001" customHeight="1" thickBot="1" x14ac:dyDescent="0.3"/>
    <row r="258" spans="1:31" ht="17.100000000000001" customHeight="1" x14ac:dyDescent="0.25">
      <c r="A258" s="50">
        <v>46023</v>
      </c>
      <c r="B258" s="53"/>
      <c r="C258" s="55"/>
      <c r="D258" s="56"/>
      <c r="E258" s="57"/>
      <c r="F258" s="55"/>
      <c r="G258" s="57"/>
      <c r="H258" s="58"/>
      <c r="I258" s="26"/>
      <c r="J258" s="61"/>
      <c r="K258" s="64"/>
      <c r="L258" s="11"/>
      <c r="M258" s="53"/>
      <c r="N258" s="42"/>
      <c r="O258" s="43"/>
      <c r="P258" s="36"/>
      <c r="Q258" s="43"/>
      <c r="R258" s="36"/>
      <c r="S258" s="37"/>
      <c r="T258" s="76">
        <f t="shared" ref="T258" si="78">R258-P258</f>
        <v>0</v>
      </c>
      <c r="U258" s="77"/>
      <c r="V258" s="80"/>
      <c r="W258" s="80"/>
      <c r="X258" s="80"/>
      <c r="Y258" s="83"/>
      <c r="Z258" s="86"/>
      <c r="AA258" s="48"/>
      <c r="AB258" s="48"/>
      <c r="AC258" s="96"/>
      <c r="AD258" s="99"/>
      <c r="AE258" s="101"/>
    </row>
    <row r="259" spans="1:31" ht="17.100000000000001" customHeight="1" x14ac:dyDescent="0.25">
      <c r="A259" s="51"/>
      <c r="B259" s="54"/>
      <c r="C259" s="68"/>
      <c r="D259" s="69"/>
      <c r="E259" s="70"/>
      <c r="F259" s="68"/>
      <c r="G259" s="70"/>
      <c r="H259" s="59"/>
      <c r="I259" s="24"/>
      <c r="J259" s="62"/>
      <c r="K259" s="65"/>
      <c r="L259" s="17"/>
      <c r="M259" s="54"/>
      <c r="N259" s="44"/>
      <c r="O259" s="45"/>
      <c r="P259" s="38"/>
      <c r="Q259" s="45"/>
      <c r="R259" s="38"/>
      <c r="S259" s="39"/>
      <c r="T259" s="32"/>
      <c r="U259" s="78"/>
      <c r="V259" s="81"/>
      <c r="W259" s="81"/>
      <c r="X259" s="81"/>
      <c r="Y259" s="84"/>
      <c r="Z259" s="34"/>
      <c r="AA259" s="29"/>
      <c r="AB259" s="29"/>
      <c r="AC259" s="97"/>
      <c r="AD259" s="100"/>
      <c r="AE259" s="102"/>
    </row>
    <row r="260" spans="1:31" ht="17.100000000000001" customHeight="1" x14ac:dyDescent="0.25">
      <c r="A260" s="51"/>
      <c r="B260" s="66"/>
      <c r="C260" s="68"/>
      <c r="D260" s="69"/>
      <c r="E260" s="70"/>
      <c r="F260" s="68"/>
      <c r="G260" s="70"/>
      <c r="H260" s="59"/>
      <c r="I260" s="27"/>
      <c r="J260" s="63"/>
      <c r="K260" s="71"/>
      <c r="L260" s="18"/>
      <c r="M260" s="66"/>
      <c r="N260" s="46"/>
      <c r="O260" s="47"/>
      <c r="P260" s="40"/>
      <c r="Q260" s="47"/>
      <c r="R260" s="40"/>
      <c r="S260" s="41"/>
      <c r="T260" s="31">
        <f>(P261-P258)+(R258-R261)</f>
        <v>0</v>
      </c>
      <c r="U260" s="78"/>
      <c r="V260" s="81"/>
      <c r="W260" s="81"/>
      <c r="X260" s="81"/>
      <c r="Y260" s="84"/>
      <c r="Z260" s="87"/>
      <c r="AA260" s="49"/>
      <c r="AB260" s="49"/>
      <c r="AC260" s="98"/>
      <c r="AD260" s="104"/>
      <c r="AE260" s="102"/>
    </row>
    <row r="261" spans="1:31" ht="17.100000000000001" customHeight="1" x14ac:dyDescent="0.25">
      <c r="A261" s="51"/>
      <c r="B261" s="54"/>
      <c r="C261" s="68"/>
      <c r="D261" s="69"/>
      <c r="E261" s="70"/>
      <c r="F261" s="68"/>
      <c r="G261" s="70"/>
      <c r="H261" s="59"/>
      <c r="I261" s="23"/>
      <c r="J261" s="88"/>
      <c r="K261" s="65"/>
      <c r="L261" s="18"/>
      <c r="M261" s="54"/>
      <c r="N261" s="90">
        <f>(P258-N258)+(P261-P258)+(R258-R261)</f>
        <v>0</v>
      </c>
      <c r="O261" s="91"/>
      <c r="P261" s="90"/>
      <c r="Q261" s="91"/>
      <c r="R261" s="90"/>
      <c r="S261" s="94"/>
      <c r="T261" s="32"/>
      <c r="U261" s="78"/>
      <c r="V261" s="81"/>
      <c r="W261" s="81"/>
      <c r="X261" s="81"/>
      <c r="Y261" s="84"/>
      <c r="Z261" s="34"/>
      <c r="AA261" s="28"/>
      <c r="AB261" s="28"/>
      <c r="AC261" s="97"/>
      <c r="AD261" s="100"/>
      <c r="AE261" s="102"/>
    </row>
    <row r="262" spans="1:31" ht="17.100000000000001" customHeight="1" x14ac:dyDescent="0.25">
      <c r="A262" s="51"/>
      <c r="B262" s="66"/>
      <c r="C262" s="68"/>
      <c r="D262" s="69"/>
      <c r="E262" s="70"/>
      <c r="F262" s="68"/>
      <c r="G262" s="70"/>
      <c r="H262" s="59"/>
      <c r="I262" s="24"/>
      <c r="J262" s="62"/>
      <c r="K262" s="71" t="s">
        <v>51</v>
      </c>
      <c r="L262" s="16" t="s">
        <v>51</v>
      </c>
      <c r="M262" s="66" t="s">
        <v>51</v>
      </c>
      <c r="N262" s="38"/>
      <c r="O262" s="45"/>
      <c r="P262" s="38"/>
      <c r="Q262" s="45"/>
      <c r="R262" s="38"/>
      <c r="S262" s="39"/>
      <c r="T262" s="31">
        <f t="shared" ref="T262" si="79">R261-P261</f>
        <v>0</v>
      </c>
      <c r="U262" s="78"/>
      <c r="V262" s="81"/>
      <c r="W262" s="81"/>
      <c r="X262" s="81"/>
      <c r="Y262" s="84"/>
      <c r="Z262" s="34"/>
      <c r="AA262" s="29"/>
      <c r="AB262" s="29"/>
      <c r="AC262" s="97"/>
      <c r="AD262" s="104"/>
      <c r="AE262" s="102"/>
    </row>
    <row r="263" spans="1:31" ht="17.100000000000001" customHeight="1" thickBot="1" x14ac:dyDescent="0.3">
      <c r="A263" s="52"/>
      <c r="B263" s="67"/>
      <c r="C263" s="73"/>
      <c r="D263" s="74"/>
      <c r="E263" s="75"/>
      <c r="F263" s="73"/>
      <c r="G263" s="75"/>
      <c r="H263" s="60"/>
      <c r="I263" s="25"/>
      <c r="J263" s="89"/>
      <c r="K263" s="72"/>
      <c r="L263" s="19" t="s">
        <v>52</v>
      </c>
      <c r="M263" s="67"/>
      <c r="N263" s="92"/>
      <c r="O263" s="93"/>
      <c r="P263" s="92"/>
      <c r="Q263" s="93"/>
      <c r="R263" s="92"/>
      <c r="S263" s="95"/>
      <c r="T263" s="33"/>
      <c r="U263" s="79"/>
      <c r="V263" s="82"/>
      <c r="W263" s="82"/>
      <c r="X263" s="82"/>
      <c r="Y263" s="85"/>
      <c r="Z263" s="35"/>
      <c r="AA263" s="30"/>
      <c r="AB263" s="30"/>
      <c r="AC263" s="105"/>
      <c r="AD263" s="106"/>
      <c r="AE263" s="103"/>
    </row>
    <row r="264" spans="1:31" ht="17.100000000000001" customHeight="1" x14ac:dyDescent="0.25">
      <c r="A264" s="50">
        <v>46023</v>
      </c>
      <c r="B264" s="53"/>
      <c r="C264" s="55"/>
      <c r="D264" s="56"/>
      <c r="E264" s="57"/>
      <c r="F264" s="55"/>
      <c r="G264" s="57"/>
      <c r="H264" s="58"/>
      <c r="I264" s="26"/>
      <c r="J264" s="61"/>
      <c r="K264" s="64"/>
      <c r="L264" s="11"/>
      <c r="M264" s="53"/>
      <c r="N264" s="42"/>
      <c r="O264" s="43"/>
      <c r="P264" s="36"/>
      <c r="Q264" s="43"/>
      <c r="R264" s="36"/>
      <c r="S264" s="37"/>
      <c r="T264" s="76">
        <f t="shared" ref="T264" si="80">R264-P264</f>
        <v>0</v>
      </c>
      <c r="U264" s="77"/>
      <c r="V264" s="80"/>
      <c r="W264" s="80"/>
      <c r="X264" s="80"/>
      <c r="Y264" s="83"/>
      <c r="Z264" s="86"/>
      <c r="AA264" s="48"/>
      <c r="AB264" s="48"/>
      <c r="AC264" s="96"/>
      <c r="AD264" s="99"/>
      <c r="AE264" s="101"/>
    </row>
    <row r="265" spans="1:31" ht="17.100000000000001" customHeight="1" x14ac:dyDescent="0.25">
      <c r="A265" s="51"/>
      <c r="B265" s="54"/>
      <c r="C265" s="68"/>
      <c r="D265" s="69"/>
      <c r="E265" s="70"/>
      <c r="F265" s="68"/>
      <c r="G265" s="70"/>
      <c r="H265" s="59"/>
      <c r="I265" s="24"/>
      <c r="J265" s="62"/>
      <c r="K265" s="65"/>
      <c r="L265" s="17"/>
      <c r="M265" s="54"/>
      <c r="N265" s="44"/>
      <c r="O265" s="45"/>
      <c r="P265" s="38"/>
      <c r="Q265" s="45"/>
      <c r="R265" s="38"/>
      <c r="S265" s="39"/>
      <c r="T265" s="32"/>
      <c r="U265" s="78"/>
      <c r="V265" s="81"/>
      <c r="W265" s="81"/>
      <c r="X265" s="81"/>
      <c r="Y265" s="84"/>
      <c r="Z265" s="34"/>
      <c r="AA265" s="29"/>
      <c r="AB265" s="29"/>
      <c r="AC265" s="97"/>
      <c r="AD265" s="100"/>
      <c r="AE265" s="102"/>
    </row>
    <row r="266" spans="1:31" ht="17.100000000000001" customHeight="1" x14ac:dyDescent="0.25">
      <c r="A266" s="51"/>
      <c r="B266" s="66"/>
      <c r="C266" s="68"/>
      <c r="D266" s="69"/>
      <c r="E266" s="70"/>
      <c r="F266" s="68"/>
      <c r="G266" s="70"/>
      <c r="H266" s="59"/>
      <c r="I266" s="27"/>
      <c r="J266" s="63"/>
      <c r="K266" s="71"/>
      <c r="L266" s="18"/>
      <c r="M266" s="66"/>
      <c r="N266" s="46"/>
      <c r="O266" s="47"/>
      <c r="P266" s="40"/>
      <c r="Q266" s="47"/>
      <c r="R266" s="40"/>
      <c r="S266" s="41"/>
      <c r="T266" s="31">
        <f>(P267-P264)+(R264-R267)</f>
        <v>0</v>
      </c>
      <c r="U266" s="78"/>
      <c r="V266" s="81"/>
      <c r="W266" s="81"/>
      <c r="X266" s="81"/>
      <c r="Y266" s="84"/>
      <c r="Z266" s="87"/>
      <c r="AA266" s="49"/>
      <c r="AB266" s="49"/>
      <c r="AC266" s="98"/>
      <c r="AD266" s="104"/>
      <c r="AE266" s="102"/>
    </row>
    <row r="267" spans="1:31" ht="17.100000000000001" customHeight="1" x14ac:dyDescent="0.25">
      <c r="A267" s="51"/>
      <c r="B267" s="54"/>
      <c r="C267" s="68"/>
      <c r="D267" s="69"/>
      <c r="E267" s="70"/>
      <c r="F267" s="68"/>
      <c r="G267" s="70"/>
      <c r="H267" s="59"/>
      <c r="I267" s="23"/>
      <c r="J267" s="88"/>
      <c r="K267" s="65"/>
      <c r="L267" s="18"/>
      <c r="M267" s="54"/>
      <c r="N267" s="90">
        <f>(P264-N264)+(P267-P264)+(R264-R267)</f>
        <v>0</v>
      </c>
      <c r="O267" s="91"/>
      <c r="P267" s="90"/>
      <c r="Q267" s="91"/>
      <c r="R267" s="90"/>
      <c r="S267" s="94"/>
      <c r="T267" s="32"/>
      <c r="U267" s="78"/>
      <c r="V267" s="81"/>
      <c r="W267" s="81"/>
      <c r="X267" s="81"/>
      <c r="Y267" s="84"/>
      <c r="Z267" s="34"/>
      <c r="AA267" s="28"/>
      <c r="AB267" s="28"/>
      <c r="AC267" s="97"/>
      <c r="AD267" s="100"/>
      <c r="AE267" s="102"/>
    </row>
    <row r="268" spans="1:31" ht="17.100000000000001" customHeight="1" x14ac:dyDescent="0.25">
      <c r="A268" s="51"/>
      <c r="B268" s="66"/>
      <c r="C268" s="68"/>
      <c r="D268" s="69"/>
      <c r="E268" s="70"/>
      <c r="F268" s="68"/>
      <c r="G268" s="70"/>
      <c r="H268" s="59"/>
      <c r="I268" s="24"/>
      <c r="J268" s="62"/>
      <c r="K268" s="71" t="s">
        <v>51</v>
      </c>
      <c r="L268" s="16" t="s">
        <v>51</v>
      </c>
      <c r="M268" s="66" t="s">
        <v>51</v>
      </c>
      <c r="N268" s="38"/>
      <c r="O268" s="45"/>
      <c r="P268" s="38"/>
      <c r="Q268" s="45"/>
      <c r="R268" s="38"/>
      <c r="S268" s="39"/>
      <c r="T268" s="31">
        <f t="shared" ref="T268" si="81">R267-P267</f>
        <v>0</v>
      </c>
      <c r="U268" s="78"/>
      <c r="V268" s="81"/>
      <c r="W268" s="81"/>
      <c r="X268" s="81"/>
      <c r="Y268" s="84"/>
      <c r="Z268" s="34"/>
      <c r="AA268" s="29"/>
      <c r="AB268" s="29"/>
      <c r="AC268" s="97"/>
      <c r="AD268" s="104"/>
      <c r="AE268" s="102"/>
    </row>
    <row r="269" spans="1:31" ht="17.100000000000001" customHeight="1" thickBot="1" x14ac:dyDescent="0.3">
      <c r="A269" s="52"/>
      <c r="B269" s="67"/>
      <c r="C269" s="73"/>
      <c r="D269" s="74"/>
      <c r="E269" s="75"/>
      <c r="F269" s="73"/>
      <c r="G269" s="75"/>
      <c r="H269" s="60"/>
      <c r="I269" s="25"/>
      <c r="J269" s="89"/>
      <c r="K269" s="72"/>
      <c r="L269" s="19" t="s">
        <v>52</v>
      </c>
      <c r="M269" s="67"/>
      <c r="N269" s="92"/>
      <c r="O269" s="93"/>
      <c r="P269" s="92"/>
      <c r="Q269" s="93"/>
      <c r="R269" s="92"/>
      <c r="S269" s="95"/>
      <c r="T269" s="33"/>
      <c r="U269" s="79"/>
      <c r="V269" s="82"/>
      <c r="W269" s="82"/>
      <c r="X269" s="82"/>
      <c r="Y269" s="85"/>
      <c r="Z269" s="35"/>
      <c r="AA269" s="30"/>
      <c r="AB269" s="30"/>
      <c r="AC269" s="105"/>
      <c r="AD269" s="106"/>
      <c r="AE269" s="103"/>
    </row>
    <row r="270" spans="1:31" ht="17.100000000000001" customHeight="1" x14ac:dyDescent="0.25">
      <c r="A270" s="50">
        <v>46023</v>
      </c>
      <c r="B270" s="53"/>
      <c r="C270" s="55"/>
      <c r="D270" s="56"/>
      <c r="E270" s="57"/>
      <c r="F270" s="55"/>
      <c r="G270" s="57"/>
      <c r="H270" s="58"/>
      <c r="I270" s="26"/>
      <c r="J270" s="61"/>
      <c r="K270" s="64"/>
      <c r="L270" s="11"/>
      <c r="M270" s="53"/>
      <c r="N270" s="42"/>
      <c r="O270" s="43"/>
      <c r="P270" s="36"/>
      <c r="Q270" s="43"/>
      <c r="R270" s="36"/>
      <c r="S270" s="37"/>
      <c r="T270" s="76">
        <f t="shared" ref="T270" si="82">R270-P270</f>
        <v>0</v>
      </c>
      <c r="U270" s="77"/>
      <c r="V270" s="80"/>
      <c r="W270" s="80"/>
      <c r="X270" s="80"/>
      <c r="Y270" s="83"/>
      <c r="Z270" s="86"/>
      <c r="AA270" s="48"/>
      <c r="AB270" s="48"/>
      <c r="AC270" s="96"/>
      <c r="AD270" s="99"/>
      <c r="AE270" s="101"/>
    </row>
    <row r="271" spans="1:31" ht="17.100000000000001" customHeight="1" x14ac:dyDescent="0.25">
      <c r="A271" s="51"/>
      <c r="B271" s="54"/>
      <c r="C271" s="68"/>
      <c r="D271" s="69"/>
      <c r="E271" s="70"/>
      <c r="F271" s="68"/>
      <c r="G271" s="70"/>
      <c r="H271" s="59"/>
      <c r="I271" s="24"/>
      <c r="J271" s="62"/>
      <c r="K271" s="65"/>
      <c r="L271" s="17"/>
      <c r="M271" s="54"/>
      <c r="N271" s="44"/>
      <c r="O271" s="45"/>
      <c r="P271" s="38"/>
      <c r="Q271" s="45"/>
      <c r="R271" s="38"/>
      <c r="S271" s="39"/>
      <c r="T271" s="32"/>
      <c r="U271" s="78"/>
      <c r="V271" s="81"/>
      <c r="W271" s="81"/>
      <c r="X271" s="81"/>
      <c r="Y271" s="84"/>
      <c r="Z271" s="34"/>
      <c r="AA271" s="29"/>
      <c r="AB271" s="29"/>
      <c r="AC271" s="97"/>
      <c r="AD271" s="100"/>
      <c r="AE271" s="102"/>
    </row>
    <row r="272" spans="1:31" ht="17.100000000000001" customHeight="1" x14ac:dyDescent="0.25">
      <c r="A272" s="51"/>
      <c r="B272" s="66"/>
      <c r="C272" s="68"/>
      <c r="D272" s="69"/>
      <c r="E272" s="70"/>
      <c r="F272" s="68"/>
      <c r="G272" s="70"/>
      <c r="H272" s="59"/>
      <c r="I272" s="27"/>
      <c r="J272" s="63"/>
      <c r="K272" s="71"/>
      <c r="L272" s="18"/>
      <c r="M272" s="66"/>
      <c r="N272" s="46"/>
      <c r="O272" s="47"/>
      <c r="P272" s="40"/>
      <c r="Q272" s="47"/>
      <c r="R272" s="40"/>
      <c r="S272" s="41"/>
      <c r="T272" s="31">
        <f>(P273-P270)+(R270-R273)</f>
        <v>0</v>
      </c>
      <c r="U272" s="78"/>
      <c r="V272" s="81"/>
      <c r="W272" s="81"/>
      <c r="X272" s="81"/>
      <c r="Y272" s="84"/>
      <c r="Z272" s="87"/>
      <c r="AA272" s="49"/>
      <c r="AB272" s="49"/>
      <c r="AC272" s="98"/>
      <c r="AD272" s="104"/>
      <c r="AE272" s="102"/>
    </row>
    <row r="273" spans="1:31" ht="17.100000000000001" customHeight="1" x14ac:dyDescent="0.25">
      <c r="A273" s="51"/>
      <c r="B273" s="54"/>
      <c r="C273" s="68"/>
      <c r="D273" s="69"/>
      <c r="E273" s="70"/>
      <c r="F273" s="68"/>
      <c r="G273" s="70"/>
      <c r="H273" s="59"/>
      <c r="I273" s="23"/>
      <c r="J273" s="88"/>
      <c r="K273" s="65"/>
      <c r="L273" s="18"/>
      <c r="M273" s="54"/>
      <c r="N273" s="90">
        <f>(P270-N270)+(P273-P270)+(R270-R273)</f>
        <v>0</v>
      </c>
      <c r="O273" s="91"/>
      <c r="P273" s="90"/>
      <c r="Q273" s="91"/>
      <c r="R273" s="90"/>
      <c r="S273" s="94"/>
      <c r="T273" s="32"/>
      <c r="U273" s="78"/>
      <c r="V273" s="81"/>
      <c r="W273" s="81"/>
      <c r="X273" s="81"/>
      <c r="Y273" s="84"/>
      <c r="Z273" s="34"/>
      <c r="AA273" s="28"/>
      <c r="AB273" s="28"/>
      <c r="AC273" s="97"/>
      <c r="AD273" s="100"/>
      <c r="AE273" s="102"/>
    </row>
    <row r="274" spans="1:31" ht="17.100000000000001" customHeight="1" x14ac:dyDescent="0.25">
      <c r="A274" s="51"/>
      <c r="B274" s="66"/>
      <c r="C274" s="68"/>
      <c r="D274" s="69"/>
      <c r="E274" s="70"/>
      <c r="F274" s="68"/>
      <c r="G274" s="70"/>
      <c r="H274" s="59"/>
      <c r="I274" s="24"/>
      <c r="J274" s="62"/>
      <c r="K274" s="71" t="s">
        <v>51</v>
      </c>
      <c r="L274" s="16" t="s">
        <v>51</v>
      </c>
      <c r="M274" s="66" t="s">
        <v>51</v>
      </c>
      <c r="N274" s="38"/>
      <c r="O274" s="45"/>
      <c r="P274" s="38"/>
      <c r="Q274" s="45"/>
      <c r="R274" s="38"/>
      <c r="S274" s="39"/>
      <c r="T274" s="31">
        <f t="shared" ref="T274" si="83">R273-P273</f>
        <v>0</v>
      </c>
      <c r="U274" s="78"/>
      <c r="V274" s="81"/>
      <c r="W274" s="81"/>
      <c r="X274" s="81"/>
      <c r="Y274" s="84"/>
      <c r="Z274" s="34"/>
      <c r="AA274" s="29"/>
      <c r="AB274" s="29"/>
      <c r="AC274" s="97"/>
      <c r="AD274" s="104"/>
      <c r="AE274" s="102"/>
    </row>
    <row r="275" spans="1:31" ht="17.100000000000001" customHeight="1" thickBot="1" x14ac:dyDescent="0.3">
      <c r="A275" s="52"/>
      <c r="B275" s="67"/>
      <c r="C275" s="73"/>
      <c r="D275" s="74"/>
      <c r="E275" s="75"/>
      <c r="F275" s="73"/>
      <c r="G275" s="75"/>
      <c r="H275" s="60"/>
      <c r="I275" s="25"/>
      <c r="J275" s="89"/>
      <c r="K275" s="72"/>
      <c r="L275" s="19" t="s">
        <v>52</v>
      </c>
      <c r="M275" s="67"/>
      <c r="N275" s="92"/>
      <c r="O275" s="93"/>
      <c r="P275" s="92"/>
      <c r="Q275" s="93"/>
      <c r="R275" s="92"/>
      <c r="S275" s="95"/>
      <c r="T275" s="33"/>
      <c r="U275" s="79"/>
      <c r="V275" s="82"/>
      <c r="W275" s="82"/>
      <c r="X275" s="82"/>
      <c r="Y275" s="85"/>
      <c r="Z275" s="35"/>
      <c r="AA275" s="30"/>
      <c r="AB275" s="30"/>
      <c r="AC275" s="105"/>
      <c r="AD275" s="106"/>
      <c r="AE275" s="103"/>
    </row>
    <row r="276" spans="1:31" ht="17.100000000000001" customHeight="1" x14ac:dyDescent="0.25">
      <c r="A276" s="50">
        <v>46023</v>
      </c>
      <c r="B276" s="53"/>
      <c r="C276" s="55"/>
      <c r="D276" s="56"/>
      <c r="E276" s="57"/>
      <c r="F276" s="55"/>
      <c r="G276" s="57"/>
      <c r="H276" s="58"/>
      <c r="I276" s="26"/>
      <c r="J276" s="61"/>
      <c r="K276" s="64"/>
      <c r="L276" s="11"/>
      <c r="M276" s="53"/>
      <c r="N276" s="42"/>
      <c r="O276" s="43"/>
      <c r="P276" s="36"/>
      <c r="Q276" s="43"/>
      <c r="R276" s="36"/>
      <c r="S276" s="37"/>
      <c r="T276" s="76">
        <f t="shared" ref="T276" si="84">R276-P276</f>
        <v>0</v>
      </c>
      <c r="U276" s="77"/>
      <c r="V276" s="80"/>
      <c r="W276" s="80"/>
      <c r="X276" s="80"/>
      <c r="Y276" s="83"/>
      <c r="Z276" s="86"/>
      <c r="AA276" s="48"/>
      <c r="AB276" s="48"/>
      <c r="AC276" s="96"/>
      <c r="AD276" s="99"/>
      <c r="AE276" s="101"/>
    </row>
    <row r="277" spans="1:31" ht="17.100000000000001" customHeight="1" x14ac:dyDescent="0.25">
      <c r="A277" s="51"/>
      <c r="B277" s="54"/>
      <c r="C277" s="68"/>
      <c r="D277" s="69"/>
      <c r="E277" s="70"/>
      <c r="F277" s="68"/>
      <c r="G277" s="70"/>
      <c r="H277" s="59"/>
      <c r="I277" s="24"/>
      <c r="J277" s="62"/>
      <c r="K277" s="65"/>
      <c r="L277" s="17"/>
      <c r="M277" s="54"/>
      <c r="N277" s="44"/>
      <c r="O277" s="45"/>
      <c r="P277" s="38"/>
      <c r="Q277" s="45"/>
      <c r="R277" s="38"/>
      <c r="S277" s="39"/>
      <c r="T277" s="32"/>
      <c r="U277" s="78"/>
      <c r="V277" s="81"/>
      <c r="W277" s="81"/>
      <c r="X277" s="81"/>
      <c r="Y277" s="84"/>
      <c r="Z277" s="34"/>
      <c r="AA277" s="29"/>
      <c r="AB277" s="29"/>
      <c r="AC277" s="97"/>
      <c r="AD277" s="100"/>
      <c r="AE277" s="102"/>
    </row>
    <row r="278" spans="1:31" ht="17.100000000000001" customHeight="1" x14ac:dyDescent="0.25">
      <c r="A278" s="51"/>
      <c r="B278" s="66"/>
      <c r="C278" s="68"/>
      <c r="D278" s="69"/>
      <c r="E278" s="70"/>
      <c r="F278" s="68"/>
      <c r="G278" s="70"/>
      <c r="H278" s="59"/>
      <c r="I278" s="27"/>
      <c r="J278" s="63"/>
      <c r="K278" s="71"/>
      <c r="L278" s="18"/>
      <c r="M278" s="66"/>
      <c r="N278" s="46"/>
      <c r="O278" s="47"/>
      <c r="P278" s="40"/>
      <c r="Q278" s="47"/>
      <c r="R278" s="40"/>
      <c r="S278" s="41"/>
      <c r="T278" s="31">
        <f>(P279-P276)+(R276-R279)</f>
        <v>0</v>
      </c>
      <c r="U278" s="78"/>
      <c r="V278" s="81"/>
      <c r="W278" s="81"/>
      <c r="X278" s="81"/>
      <c r="Y278" s="84"/>
      <c r="Z278" s="87"/>
      <c r="AA278" s="49"/>
      <c r="AB278" s="49"/>
      <c r="AC278" s="98"/>
      <c r="AD278" s="104"/>
      <c r="AE278" s="102"/>
    </row>
    <row r="279" spans="1:31" ht="17.100000000000001" customHeight="1" x14ac:dyDescent="0.25">
      <c r="A279" s="51"/>
      <c r="B279" s="54"/>
      <c r="C279" s="68"/>
      <c r="D279" s="69"/>
      <c r="E279" s="70"/>
      <c r="F279" s="68"/>
      <c r="G279" s="70"/>
      <c r="H279" s="59"/>
      <c r="I279" s="23"/>
      <c r="J279" s="88"/>
      <c r="K279" s="65"/>
      <c r="L279" s="18"/>
      <c r="M279" s="54"/>
      <c r="N279" s="90">
        <f>(P276-N276)+(P279-P276)+(R276-R279)</f>
        <v>0</v>
      </c>
      <c r="O279" s="91"/>
      <c r="P279" s="90"/>
      <c r="Q279" s="91"/>
      <c r="R279" s="90"/>
      <c r="S279" s="94"/>
      <c r="T279" s="32"/>
      <c r="U279" s="78"/>
      <c r="V279" s="81"/>
      <c r="W279" s="81"/>
      <c r="X279" s="81"/>
      <c r="Y279" s="84"/>
      <c r="Z279" s="34"/>
      <c r="AA279" s="28"/>
      <c r="AB279" s="28"/>
      <c r="AC279" s="97"/>
      <c r="AD279" s="100"/>
      <c r="AE279" s="102"/>
    </row>
    <row r="280" spans="1:31" ht="17.100000000000001" customHeight="1" x14ac:dyDescent="0.25">
      <c r="A280" s="51"/>
      <c r="B280" s="66"/>
      <c r="C280" s="68"/>
      <c r="D280" s="69"/>
      <c r="E280" s="70"/>
      <c r="F280" s="68"/>
      <c r="G280" s="70"/>
      <c r="H280" s="59"/>
      <c r="I280" s="24"/>
      <c r="J280" s="62"/>
      <c r="K280" s="71" t="s">
        <v>51</v>
      </c>
      <c r="L280" s="16" t="s">
        <v>51</v>
      </c>
      <c r="M280" s="66" t="s">
        <v>51</v>
      </c>
      <c r="N280" s="38"/>
      <c r="O280" s="45"/>
      <c r="P280" s="38"/>
      <c r="Q280" s="45"/>
      <c r="R280" s="38"/>
      <c r="S280" s="39"/>
      <c r="T280" s="31">
        <f t="shared" ref="T280" si="85">R279-P279</f>
        <v>0</v>
      </c>
      <c r="U280" s="78"/>
      <c r="V280" s="81"/>
      <c r="W280" s="81"/>
      <c r="X280" s="81"/>
      <c r="Y280" s="84"/>
      <c r="Z280" s="34"/>
      <c r="AA280" s="29"/>
      <c r="AB280" s="29"/>
      <c r="AC280" s="97"/>
      <c r="AD280" s="104"/>
      <c r="AE280" s="102"/>
    </row>
    <row r="281" spans="1:31" ht="17.100000000000001" customHeight="1" thickBot="1" x14ac:dyDescent="0.3">
      <c r="A281" s="52"/>
      <c r="B281" s="67"/>
      <c r="C281" s="73"/>
      <c r="D281" s="74"/>
      <c r="E281" s="75"/>
      <c r="F281" s="73"/>
      <c r="G281" s="75"/>
      <c r="H281" s="60"/>
      <c r="I281" s="25"/>
      <c r="J281" s="89"/>
      <c r="K281" s="72"/>
      <c r="L281" s="19" t="s">
        <v>52</v>
      </c>
      <c r="M281" s="67"/>
      <c r="N281" s="92"/>
      <c r="O281" s="93"/>
      <c r="P281" s="92"/>
      <c r="Q281" s="93"/>
      <c r="R281" s="92"/>
      <c r="S281" s="95"/>
      <c r="T281" s="33"/>
      <c r="U281" s="79"/>
      <c r="V281" s="82"/>
      <c r="W281" s="82"/>
      <c r="X281" s="82"/>
      <c r="Y281" s="85"/>
      <c r="Z281" s="35"/>
      <c r="AA281" s="30"/>
      <c r="AB281" s="30"/>
      <c r="AC281" s="105"/>
      <c r="AD281" s="106"/>
      <c r="AE281" s="103"/>
    </row>
    <row r="282" spans="1:31" ht="17.100000000000001" customHeight="1" x14ac:dyDescent="0.25">
      <c r="A282" s="50">
        <v>46023</v>
      </c>
      <c r="B282" s="53"/>
      <c r="C282" s="55"/>
      <c r="D282" s="56"/>
      <c r="E282" s="57"/>
      <c r="F282" s="55"/>
      <c r="G282" s="57"/>
      <c r="H282" s="58"/>
      <c r="I282" s="26"/>
      <c r="J282" s="61"/>
      <c r="K282" s="64"/>
      <c r="L282" s="11"/>
      <c r="M282" s="53"/>
      <c r="N282" s="42"/>
      <c r="O282" s="43"/>
      <c r="P282" s="36"/>
      <c r="Q282" s="43"/>
      <c r="R282" s="36"/>
      <c r="S282" s="37"/>
      <c r="T282" s="76">
        <f t="shared" ref="T282" si="86">R282-P282</f>
        <v>0</v>
      </c>
      <c r="U282" s="77"/>
      <c r="V282" s="80"/>
      <c r="W282" s="80"/>
      <c r="X282" s="80"/>
      <c r="Y282" s="83"/>
      <c r="Z282" s="86"/>
      <c r="AA282" s="48"/>
      <c r="AB282" s="48"/>
      <c r="AC282" s="96"/>
      <c r="AD282" s="99"/>
      <c r="AE282" s="101"/>
    </row>
    <row r="283" spans="1:31" ht="17.100000000000001" customHeight="1" x14ac:dyDescent="0.25">
      <c r="A283" s="51"/>
      <c r="B283" s="54"/>
      <c r="C283" s="68"/>
      <c r="D283" s="69"/>
      <c r="E283" s="70"/>
      <c r="F283" s="68"/>
      <c r="G283" s="70"/>
      <c r="H283" s="59"/>
      <c r="I283" s="24"/>
      <c r="J283" s="62"/>
      <c r="K283" s="65"/>
      <c r="L283" s="17"/>
      <c r="M283" s="54"/>
      <c r="N283" s="44"/>
      <c r="O283" s="45"/>
      <c r="P283" s="38"/>
      <c r="Q283" s="45"/>
      <c r="R283" s="38"/>
      <c r="S283" s="39"/>
      <c r="T283" s="32"/>
      <c r="U283" s="78"/>
      <c r="V283" s="81"/>
      <c r="W283" s="81"/>
      <c r="X283" s="81"/>
      <c r="Y283" s="84"/>
      <c r="Z283" s="34"/>
      <c r="AA283" s="29"/>
      <c r="AB283" s="29"/>
      <c r="AC283" s="97"/>
      <c r="AD283" s="100"/>
      <c r="AE283" s="102"/>
    </row>
    <row r="284" spans="1:31" ht="17.100000000000001" customHeight="1" x14ac:dyDescent="0.25">
      <c r="A284" s="51"/>
      <c r="B284" s="66"/>
      <c r="C284" s="68"/>
      <c r="D284" s="69"/>
      <c r="E284" s="70"/>
      <c r="F284" s="68"/>
      <c r="G284" s="70"/>
      <c r="H284" s="59"/>
      <c r="I284" s="27"/>
      <c r="J284" s="63"/>
      <c r="K284" s="71"/>
      <c r="L284" s="18"/>
      <c r="M284" s="66"/>
      <c r="N284" s="46"/>
      <c r="O284" s="47"/>
      <c r="P284" s="40"/>
      <c r="Q284" s="47"/>
      <c r="R284" s="40"/>
      <c r="S284" s="41"/>
      <c r="T284" s="31">
        <f>(P285-P282)+(R282-R285)</f>
        <v>0</v>
      </c>
      <c r="U284" s="78"/>
      <c r="V284" s="81"/>
      <c r="W284" s="81"/>
      <c r="X284" s="81"/>
      <c r="Y284" s="84"/>
      <c r="Z284" s="87"/>
      <c r="AA284" s="49"/>
      <c r="AB284" s="49"/>
      <c r="AC284" s="98"/>
      <c r="AD284" s="104"/>
      <c r="AE284" s="102"/>
    </row>
    <row r="285" spans="1:31" ht="17.100000000000001" customHeight="1" x14ac:dyDescent="0.25">
      <c r="A285" s="51"/>
      <c r="B285" s="54"/>
      <c r="C285" s="68"/>
      <c r="D285" s="69"/>
      <c r="E285" s="70"/>
      <c r="F285" s="68"/>
      <c r="G285" s="70"/>
      <c r="H285" s="59"/>
      <c r="I285" s="23"/>
      <c r="J285" s="88"/>
      <c r="K285" s="65"/>
      <c r="L285" s="18"/>
      <c r="M285" s="54"/>
      <c r="N285" s="90">
        <f>(P282-N282)+(P285-P282)+(R282-R285)</f>
        <v>0</v>
      </c>
      <c r="O285" s="91"/>
      <c r="P285" s="90"/>
      <c r="Q285" s="91"/>
      <c r="R285" s="90"/>
      <c r="S285" s="94"/>
      <c r="T285" s="32"/>
      <c r="U285" s="78"/>
      <c r="V285" s="81"/>
      <c r="W285" s="81"/>
      <c r="X285" s="81"/>
      <c r="Y285" s="84"/>
      <c r="Z285" s="34"/>
      <c r="AA285" s="28"/>
      <c r="AB285" s="28"/>
      <c r="AC285" s="97"/>
      <c r="AD285" s="100"/>
      <c r="AE285" s="102"/>
    </row>
    <row r="286" spans="1:31" ht="17.100000000000001" customHeight="1" x14ac:dyDescent="0.25">
      <c r="A286" s="51"/>
      <c r="B286" s="66"/>
      <c r="C286" s="68"/>
      <c r="D286" s="69"/>
      <c r="E286" s="70"/>
      <c r="F286" s="68"/>
      <c r="G286" s="70"/>
      <c r="H286" s="59"/>
      <c r="I286" s="24"/>
      <c r="J286" s="62"/>
      <c r="K286" s="71" t="s">
        <v>51</v>
      </c>
      <c r="L286" s="16" t="s">
        <v>51</v>
      </c>
      <c r="M286" s="66" t="s">
        <v>51</v>
      </c>
      <c r="N286" s="38"/>
      <c r="O286" s="45"/>
      <c r="P286" s="38"/>
      <c r="Q286" s="45"/>
      <c r="R286" s="38"/>
      <c r="S286" s="39"/>
      <c r="T286" s="31">
        <f t="shared" ref="T286" si="87">R285-P285</f>
        <v>0</v>
      </c>
      <c r="U286" s="78"/>
      <c r="V286" s="81"/>
      <c r="W286" s="81"/>
      <c r="X286" s="81"/>
      <c r="Y286" s="84"/>
      <c r="Z286" s="34"/>
      <c r="AA286" s="29"/>
      <c r="AB286" s="29"/>
      <c r="AC286" s="97"/>
      <c r="AD286" s="104"/>
      <c r="AE286" s="102"/>
    </row>
    <row r="287" spans="1:31" ht="17.100000000000001" customHeight="1" thickBot="1" x14ac:dyDescent="0.3">
      <c r="A287" s="52"/>
      <c r="B287" s="67"/>
      <c r="C287" s="73"/>
      <c r="D287" s="74"/>
      <c r="E287" s="75"/>
      <c r="F287" s="73"/>
      <c r="G287" s="75"/>
      <c r="H287" s="60"/>
      <c r="I287" s="25"/>
      <c r="J287" s="89"/>
      <c r="K287" s="72"/>
      <c r="L287" s="19" t="s">
        <v>52</v>
      </c>
      <c r="M287" s="67"/>
      <c r="N287" s="92"/>
      <c r="O287" s="93"/>
      <c r="P287" s="92"/>
      <c r="Q287" s="93"/>
      <c r="R287" s="92"/>
      <c r="S287" s="95"/>
      <c r="T287" s="33"/>
      <c r="U287" s="79"/>
      <c r="V287" s="82"/>
      <c r="W287" s="82"/>
      <c r="X287" s="82"/>
      <c r="Y287" s="85"/>
      <c r="Z287" s="35"/>
      <c r="AA287" s="30"/>
      <c r="AB287" s="30"/>
      <c r="AC287" s="105"/>
      <c r="AD287" s="106"/>
      <c r="AE287" s="103"/>
    </row>
    <row r="289" spans="1:31" ht="17.100000000000001" customHeight="1" thickBot="1" x14ac:dyDescent="0.3"/>
    <row r="290" spans="1:31" ht="17.100000000000001" customHeight="1" x14ac:dyDescent="0.25">
      <c r="A290" s="50">
        <v>46023</v>
      </c>
      <c r="B290" s="53"/>
      <c r="C290" s="55"/>
      <c r="D290" s="56"/>
      <c r="E290" s="57"/>
      <c r="F290" s="55"/>
      <c r="G290" s="57"/>
      <c r="H290" s="58"/>
      <c r="I290" s="26"/>
      <c r="J290" s="61"/>
      <c r="K290" s="64"/>
      <c r="L290" s="11"/>
      <c r="M290" s="53"/>
      <c r="N290" s="42"/>
      <c r="O290" s="43"/>
      <c r="P290" s="36"/>
      <c r="Q290" s="43"/>
      <c r="R290" s="36"/>
      <c r="S290" s="37"/>
      <c r="T290" s="76">
        <f t="shared" ref="T290" si="88">R290-P290</f>
        <v>0</v>
      </c>
      <c r="U290" s="77"/>
      <c r="V290" s="80"/>
      <c r="W290" s="80"/>
      <c r="X290" s="80"/>
      <c r="Y290" s="83"/>
      <c r="Z290" s="86"/>
      <c r="AA290" s="48"/>
      <c r="AB290" s="48"/>
      <c r="AC290" s="96"/>
      <c r="AD290" s="99"/>
      <c r="AE290" s="101"/>
    </row>
    <row r="291" spans="1:31" ht="17.100000000000001" customHeight="1" x14ac:dyDescent="0.25">
      <c r="A291" s="51"/>
      <c r="B291" s="54"/>
      <c r="C291" s="68"/>
      <c r="D291" s="69"/>
      <c r="E291" s="70"/>
      <c r="F291" s="68"/>
      <c r="G291" s="70"/>
      <c r="H291" s="59"/>
      <c r="I291" s="24"/>
      <c r="J291" s="62"/>
      <c r="K291" s="65"/>
      <c r="L291" s="17"/>
      <c r="M291" s="54"/>
      <c r="N291" s="44"/>
      <c r="O291" s="45"/>
      <c r="P291" s="38"/>
      <c r="Q291" s="45"/>
      <c r="R291" s="38"/>
      <c r="S291" s="39"/>
      <c r="T291" s="32"/>
      <c r="U291" s="78"/>
      <c r="V291" s="81"/>
      <c r="W291" s="81"/>
      <c r="X291" s="81"/>
      <c r="Y291" s="84"/>
      <c r="Z291" s="34"/>
      <c r="AA291" s="29"/>
      <c r="AB291" s="29"/>
      <c r="AC291" s="97"/>
      <c r="AD291" s="100"/>
      <c r="AE291" s="102"/>
    </row>
    <row r="292" spans="1:31" ht="17.100000000000001" customHeight="1" x14ac:dyDescent="0.25">
      <c r="A292" s="51"/>
      <c r="B292" s="66"/>
      <c r="C292" s="68"/>
      <c r="D292" s="69"/>
      <c r="E292" s="70"/>
      <c r="F292" s="68"/>
      <c r="G292" s="70"/>
      <c r="H292" s="59"/>
      <c r="I292" s="27"/>
      <c r="J292" s="63"/>
      <c r="K292" s="71"/>
      <c r="L292" s="18"/>
      <c r="M292" s="66"/>
      <c r="N292" s="46"/>
      <c r="O292" s="47"/>
      <c r="P292" s="40"/>
      <c r="Q292" s="47"/>
      <c r="R292" s="40"/>
      <c r="S292" s="41"/>
      <c r="T292" s="31">
        <f>(P293-P290)+(R290-R293)</f>
        <v>0</v>
      </c>
      <c r="U292" s="78"/>
      <c r="V292" s="81"/>
      <c r="W292" s="81"/>
      <c r="X292" s="81"/>
      <c r="Y292" s="84"/>
      <c r="Z292" s="87"/>
      <c r="AA292" s="49"/>
      <c r="AB292" s="49"/>
      <c r="AC292" s="98"/>
      <c r="AD292" s="104"/>
      <c r="AE292" s="102"/>
    </row>
    <row r="293" spans="1:31" ht="17.100000000000001" customHeight="1" x14ac:dyDescent="0.25">
      <c r="A293" s="51"/>
      <c r="B293" s="54"/>
      <c r="C293" s="68"/>
      <c r="D293" s="69"/>
      <c r="E293" s="70"/>
      <c r="F293" s="68"/>
      <c r="G293" s="70"/>
      <c r="H293" s="59"/>
      <c r="I293" s="23"/>
      <c r="J293" s="88"/>
      <c r="K293" s="65"/>
      <c r="L293" s="18"/>
      <c r="M293" s="54"/>
      <c r="N293" s="90">
        <f>(P290-N290)+(P293-P290)+(R290-R293)</f>
        <v>0</v>
      </c>
      <c r="O293" s="91"/>
      <c r="P293" s="90"/>
      <c r="Q293" s="91"/>
      <c r="R293" s="90"/>
      <c r="S293" s="94"/>
      <c r="T293" s="32"/>
      <c r="U293" s="78"/>
      <c r="V293" s="81"/>
      <c r="W293" s="81"/>
      <c r="X293" s="81"/>
      <c r="Y293" s="84"/>
      <c r="Z293" s="34"/>
      <c r="AA293" s="28"/>
      <c r="AB293" s="28"/>
      <c r="AC293" s="97"/>
      <c r="AD293" s="100"/>
      <c r="AE293" s="102"/>
    </row>
    <row r="294" spans="1:31" ht="17.100000000000001" customHeight="1" x14ac:dyDescent="0.25">
      <c r="A294" s="51"/>
      <c r="B294" s="66"/>
      <c r="C294" s="68"/>
      <c r="D294" s="69"/>
      <c r="E294" s="70"/>
      <c r="F294" s="68"/>
      <c r="G294" s="70"/>
      <c r="H294" s="59"/>
      <c r="I294" s="24"/>
      <c r="J294" s="62"/>
      <c r="K294" s="71" t="s">
        <v>51</v>
      </c>
      <c r="L294" s="16" t="s">
        <v>51</v>
      </c>
      <c r="M294" s="66" t="s">
        <v>51</v>
      </c>
      <c r="N294" s="38"/>
      <c r="O294" s="45"/>
      <c r="P294" s="38"/>
      <c r="Q294" s="45"/>
      <c r="R294" s="38"/>
      <c r="S294" s="39"/>
      <c r="T294" s="31">
        <f t="shared" ref="T294" si="89">R293-P293</f>
        <v>0</v>
      </c>
      <c r="U294" s="78"/>
      <c r="V294" s="81"/>
      <c r="W294" s="81"/>
      <c r="X294" s="81"/>
      <c r="Y294" s="84"/>
      <c r="Z294" s="34"/>
      <c r="AA294" s="29"/>
      <c r="AB294" s="29"/>
      <c r="AC294" s="97"/>
      <c r="AD294" s="104"/>
      <c r="AE294" s="102"/>
    </row>
    <row r="295" spans="1:31" ht="17.100000000000001" customHeight="1" thickBot="1" x14ac:dyDescent="0.3">
      <c r="A295" s="52"/>
      <c r="B295" s="67"/>
      <c r="C295" s="73"/>
      <c r="D295" s="74"/>
      <c r="E295" s="75"/>
      <c r="F295" s="73"/>
      <c r="G295" s="75"/>
      <c r="H295" s="60"/>
      <c r="I295" s="25"/>
      <c r="J295" s="89"/>
      <c r="K295" s="72"/>
      <c r="L295" s="19" t="s">
        <v>52</v>
      </c>
      <c r="M295" s="67"/>
      <c r="N295" s="92"/>
      <c r="O295" s="93"/>
      <c r="P295" s="92"/>
      <c r="Q295" s="93"/>
      <c r="R295" s="92"/>
      <c r="S295" s="95"/>
      <c r="T295" s="33"/>
      <c r="U295" s="79"/>
      <c r="V295" s="82"/>
      <c r="W295" s="82"/>
      <c r="X295" s="82"/>
      <c r="Y295" s="85"/>
      <c r="Z295" s="35"/>
      <c r="AA295" s="30"/>
      <c r="AB295" s="30"/>
      <c r="AC295" s="105"/>
      <c r="AD295" s="106"/>
      <c r="AE295" s="103"/>
    </row>
    <row r="296" spans="1:31" ht="17.100000000000001" customHeight="1" x14ac:dyDescent="0.25">
      <c r="A296" s="50">
        <v>46023</v>
      </c>
      <c r="B296" s="53"/>
      <c r="C296" s="55"/>
      <c r="D296" s="56"/>
      <c r="E296" s="57"/>
      <c r="F296" s="55"/>
      <c r="G296" s="57"/>
      <c r="H296" s="58"/>
      <c r="I296" s="26"/>
      <c r="J296" s="61"/>
      <c r="K296" s="64"/>
      <c r="L296" s="11"/>
      <c r="M296" s="53"/>
      <c r="N296" s="42"/>
      <c r="O296" s="43"/>
      <c r="P296" s="36"/>
      <c r="Q296" s="43"/>
      <c r="R296" s="36"/>
      <c r="S296" s="37"/>
      <c r="T296" s="76">
        <f t="shared" ref="T296" si="90">R296-P296</f>
        <v>0</v>
      </c>
      <c r="U296" s="77"/>
      <c r="V296" s="80"/>
      <c r="W296" s="80"/>
      <c r="X296" s="80"/>
      <c r="Y296" s="83"/>
      <c r="Z296" s="86"/>
      <c r="AA296" s="48"/>
      <c r="AB296" s="48"/>
      <c r="AC296" s="96"/>
      <c r="AD296" s="99"/>
      <c r="AE296" s="101"/>
    </row>
    <row r="297" spans="1:31" ht="17.100000000000001" customHeight="1" x14ac:dyDescent="0.25">
      <c r="A297" s="51"/>
      <c r="B297" s="54"/>
      <c r="C297" s="68"/>
      <c r="D297" s="69"/>
      <c r="E297" s="70"/>
      <c r="F297" s="68"/>
      <c r="G297" s="70"/>
      <c r="H297" s="59"/>
      <c r="I297" s="24"/>
      <c r="J297" s="62"/>
      <c r="K297" s="65"/>
      <c r="L297" s="17"/>
      <c r="M297" s="54"/>
      <c r="N297" s="44"/>
      <c r="O297" s="45"/>
      <c r="P297" s="38"/>
      <c r="Q297" s="45"/>
      <c r="R297" s="38"/>
      <c r="S297" s="39"/>
      <c r="T297" s="32"/>
      <c r="U297" s="78"/>
      <c r="V297" s="81"/>
      <c r="W297" s="81"/>
      <c r="X297" s="81"/>
      <c r="Y297" s="84"/>
      <c r="Z297" s="34"/>
      <c r="AA297" s="29"/>
      <c r="AB297" s="29"/>
      <c r="AC297" s="97"/>
      <c r="AD297" s="100"/>
      <c r="AE297" s="102"/>
    </row>
    <row r="298" spans="1:31" ht="17.100000000000001" customHeight="1" x14ac:dyDescent="0.25">
      <c r="A298" s="51"/>
      <c r="B298" s="66"/>
      <c r="C298" s="68"/>
      <c r="D298" s="69"/>
      <c r="E298" s="70"/>
      <c r="F298" s="68"/>
      <c r="G298" s="70"/>
      <c r="H298" s="59"/>
      <c r="I298" s="27"/>
      <c r="J298" s="63"/>
      <c r="K298" s="71"/>
      <c r="L298" s="18"/>
      <c r="M298" s="66"/>
      <c r="N298" s="46"/>
      <c r="O298" s="47"/>
      <c r="P298" s="40"/>
      <c r="Q298" s="47"/>
      <c r="R298" s="40"/>
      <c r="S298" s="41"/>
      <c r="T298" s="31">
        <f>(P299-P296)+(R296-R299)</f>
        <v>0</v>
      </c>
      <c r="U298" s="78"/>
      <c r="V298" s="81"/>
      <c r="W298" s="81"/>
      <c r="X298" s="81"/>
      <c r="Y298" s="84"/>
      <c r="Z298" s="87"/>
      <c r="AA298" s="49"/>
      <c r="AB298" s="49"/>
      <c r="AC298" s="98"/>
      <c r="AD298" s="104"/>
      <c r="AE298" s="102"/>
    </row>
    <row r="299" spans="1:31" ht="17.100000000000001" customHeight="1" x14ac:dyDescent="0.25">
      <c r="A299" s="51"/>
      <c r="B299" s="54"/>
      <c r="C299" s="68"/>
      <c r="D299" s="69"/>
      <c r="E299" s="70"/>
      <c r="F299" s="68"/>
      <c r="G299" s="70"/>
      <c r="H299" s="59"/>
      <c r="I299" s="23"/>
      <c r="J299" s="88"/>
      <c r="K299" s="65"/>
      <c r="L299" s="18"/>
      <c r="M299" s="54"/>
      <c r="N299" s="90">
        <f>(P296-N296)+(P299-P296)+(R296-R299)</f>
        <v>0</v>
      </c>
      <c r="O299" s="91"/>
      <c r="P299" s="90"/>
      <c r="Q299" s="91"/>
      <c r="R299" s="90"/>
      <c r="S299" s="94"/>
      <c r="T299" s="32"/>
      <c r="U299" s="78"/>
      <c r="V299" s="81"/>
      <c r="W299" s="81"/>
      <c r="X299" s="81"/>
      <c r="Y299" s="84"/>
      <c r="Z299" s="34"/>
      <c r="AA299" s="28"/>
      <c r="AB299" s="28"/>
      <c r="AC299" s="97"/>
      <c r="AD299" s="100"/>
      <c r="AE299" s="102"/>
    </row>
    <row r="300" spans="1:31" ht="17.100000000000001" customHeight="1" x14ac:dyDescent="0.25">
      <c r="A300" s="51"/>
      <c r="B300" s="66"/>
      <c r="C300" s="68"/>
      <c r="D300" s="69"/>
      <c r="E300" s="70"/>
      <c r="F300" s="68"/>
      <c r="G300" s="70"/>
      <c r="H300" s="59"/>
      <c r="I300" s="24"/>
      <c r="J300" s="62"/>
      <c r="K300" s="71" t="s">
        <v>51</v>
      </c>
      <c r="L300" s="16" t="s">
        <v>51</v>
      </c>
      <c r="M300" s="66" t="s">
        <v>51</v>
      </c>
      <c r="N300" s="38"/>
      <c r="O300" s="45"/>
      <c r="P300" s="38"/>
      <c r="Q300" s="45"/>
      <c r="R300" s="38"/>
      <c r="S300" s="39"/>
      <c r="T300" s="31">
        <f t="shared" ref="T300" si="91">R299-P299</f>
        <v>0</v>
      </c>
      <c r="U300" s="78"/>
      <c r="V300" s="81"/>
      <c r="W300" s="81"/>
      <c r="X300" s="81"/>
      <c r="Y300" s="84"/>
      <c r="Z300" s="34"/>
      <c r="AA300" s="29"/>
      <c r="AB300" s="29"/>
      <c r="AC300" s="97"/>
      <c r="AD300" s="104"/>
      <c r="AE300" s="102"/>
    </row>
    <row r="301" spans="1:31" ht="17.100000000000001" customHeight="1" thickBot="1" x14ac:dyDescent="0.3">
      <c r="A301" s="52"/>
      <c r="B301" s="67"/>
      <c r="C301" s="73"/>
      <c r="D301" s="74"/>
      <c r="E301" s="75"/>
      <c r="F301" s="73"/>
      <c r="G301" s="75"/>
      <c r="H301" s="60"/>
      <c r="I301" s="25"/>
      <c r="J301" s="89"/>
      <c r="K301" s="72"/>
      <c r="L301" s="19" t="s">
        <v>52</v>
      </c>
      <c r="M301" s="67"/>
      <c r="N301" s="92"/>
      <c r="O301" s="93"/>
      <c r="P301" s="92"/>
      <c r="Q301" s="93"/>
      <c r="R301" s="92"/>
      <c r="S301" s="95"/>
      <c r="T301" s="33"/>
      <c r="U301" s="79"/>
      <c r="V301" s="82"/>
      <c r="W301" s="82"/>
      <c r="X301" s="82"/>
      <c r="Y301" s="85"/>
      <c r="Z301" s="35"/>
      <c r="AA301" s="30"/>
      <c r="AB301" s="30"/>
      <c r="AC301" s="105"/>
      <c r="AD301" s="106"/>
      <c r="AE301" s="103"/>
    </row>
    <row r="302" spans="1:31" ht="17.100000000000001" customHeight="1" x14ac:dyDescent="0.25">
      <c r="A302" s="50">
        <v>46023</v>
      </c>
      <c r="B302" s="53"/>
      <c r="C302" s="55"/>
      <c r="D302" s="56"/>
      <c r="E302" s="57"/>
      <c r="F302" s="55"/>
      <c r="G302" s="57"/>
      <c r="H302" s="58"/>
      <c r="I302" s="26"/>
      <c r="J302" s="61"/>
      <c r="K302" s="64"/>
      <c r="L302" s="11"/>
      <c r="M302" s="53"/>
      <c r="N302" s="42"/>
      <c r="O302" s="43"/>
      <c r="P302" s="36"/>
      <c r="Q302" s="43"/>
      <c r="R302" s="36"/>
      <c r="S302" s="37"/>
      <c r="T302" s="76">
        <f t="shared" ref="T302" si="92">R302-P302</f>
        <v>0</v>
      </c>
      <c r="U302" s="77"/>
      <c r="V302" s="80"/>
      <c r="W302" s="80"/>
      <c r="X302" s="80"/>
      <c r="Y302" s="83"/>
      <c r="Z302" s="86"/>
      <c r="AA302" s="48"/>
      <c r="AB302" s="48"/>
      <c r="AC302" s="96"/>
      <c r="AD302" s="99"/>
      <c r="AE302" s="101"/>
    </row>
    <row r="303" spans="1:31" ht="17.100000000000001" customHeight="1" x14ac:dyDescent="0.25">
      <c r="A303" s="51"/>
      <c r="B303" s="54"/>
      <c r="C303" s="68"/>
      <c r="D303" s="69"/>
      <c r="E303" s="70"/>
      <c r="F303" s="68"/>
      <c r="G303" s="70"/>
      <c r="H303" s="59"/>
      <c r="I303" s="24"/>
      <c r="J303" s="62"/>
      <c r="K303" s="65"/>
      <c r="L303" s="17"/>
      <c r="M303" s="54"/>
      <c r="N303" s="44"/>
      <c r="O303" s="45"/>
      <c r="P303" s="38"/>
      <c r="Q303" s="45"/>
      <c r="R303" s="38"/>
      <c r="S303" s="39"/>
      <c r="T303" s="32"/>
      <c r="U303" s="78"/>
      <c r="V303" s="81"/>
      <c r="W303" s="81"/>
      <c r="X303" s="81"/>
      <c r="Y303" s="84"/>
      <c r="Z303" s="34"/>
      <c r="AA303" s="29"/>
      <c r="AB303" s="29"/>
      <c r="AC303" s="97"/>
      <c r="AD303" s="100"/>
      <c r="AE303" s="102"/>
    </row>
    <row r="304" spans="1:31" ht="17.100000000000001" customHeight="1" x14ac:dyDescent="0.25">
      <c r="A304" s="51"/>
      <c r="B304" s="66"/>
      <c r="C304" s="68"/>
      <c r="D304" s="69"/>
      <c r="E304" s="70"/>
      <c r="F304" s="68"/>
      <c r="G304" s="70"/>
      <c r="H304" s="59"/>
      <c r="I304" s="27"/>
      <c r="J304" s="63"/>
      <c r="K304" s="71"/>
      <c r="L304" s="18"/>
      <c r="M304" s="66"/>
      <c r="N304" s="46"/>
      <c r="O304" s="47"/>
      <c r="P304" s="40"/>
      <c r="Q304" s="47"/>
      <c r="R304" s="40"/>
      <c r="S304" s="41"/>
      <c r="T304" s="31">
        <f>(P305-P302)+(R302-R305)</f>
        <v>0</v>
      </c>
      <c r="U304" s="78"/>
      <c r="V304" s="81"/>
      <c r="W304" s="81"/>
      <c r="X304" s="81"/>
      <c r="Y304" s="84"/>
      <c r="Z304" s="87"/>
      <c r="AA304" s="49"/>
      <c r="AB304" s="49"/>
      <c r="AC304" s="98"/>
      <c r="AD304" s="104"/>
      <c r="AE304" s="102"/>
    </row>
    <row r="305" spans="1:31" ht="17.100000000000001" customHeight="1" x14ac:dyDescent="0.25">
      <c r="A305" s="51"/>
      <c r="B305" s="54"/>
      <c r="C305" s="68"/>
      <c r="D305" s="69"/>
      <c r="E305" s="70"/>
      <c r="F305" s="68"/>
      <c r="G305" s="70"/>
      <c r="H305" s="59"/>
      <c r="I305" s="23"/>
      <c r="J305" s="88"/>
      <c r="K305" s="65"/>
      <c r="L305" s="18"/>
      <c r="M305" s="54"/>
      <c r="N305" s="90">
        <f>(P302-N302)+(P305-P302)+(R302-R305)</f>
        <v>0</v>
      </c>
      <c r="O305" s="91"/>
      <c r="P305" s="90"/>
      <c r="Q305" s="91"/>
      <c r="R305" s="90"/>
      <c r="S305" s="94"/>
      <c r="T305" s="32"/>
      <c r="U305" s="78"/>
      <c r="V305" s="81"/>
      <c r="W305" s="81"/>
      <c r="X305" s="81"/>
      <c r="Y305" s="84"/>
      <c r="Z305" s="34"/>
      <c r="AA305" s="28"/>
      <c r="AB305" s="28"/>
      <c r="AC305" s="97"/>
      <c r="AD305" s="100"/>
      <c r="AE305" s="102"/>
    </row>
    <row r="306" spans="1:31" ht="17.100000000000001" customHeight="1" x14ac:dyDescent="0.25">
      <c r="A306" s="51"/>
      <c r="B306" s="66"/>
      <c r="C306" s="68"/>
      <c r="D306" s="69"/>
      <c r="E306" s="70"/>
      <c r="F306" s="68"/>
      <c r="G306" s="70"/>
      <c r="H306" s="59"/>
      <c r="I306" s="24"/>
      <c r="J306" s="62"/>
      <c r="K306" s="71" t="s">
        <v>51</v>
      </c>
      <c r="L306" s="16" t="s">
        <v>51</v>
      </c>
      <c r="M306" s="66" t="s">
        <v>51</v>
      </c>
      <c r="N306" s="38"/>
      <c r="O306" s="45"/>
      <c r="P306" s="38"/>
      <c r="Q306" s="45"/>
      <c r="R306" s="38"/>
      <c r="S306" s="39"/>
      <c r="T306" s="31">
        <f t="shared" ref="T306" si="93">R305-P305</f>
        <v>0</v>
      </c>
      <c r="U306" s="78"/>
      <c r="V306" s="81"/>
      <c r="W306" s="81"/>
      <c r="X306" s="81"/>
      <c r="Y306" s="84"/>
      <c r="Z306" s="34"/>
      <c r="AA306" s="29"/>
      <c r="AB306" s="29"/>
      <c r="AC306" s="97"/>
      <c r="AD306" s="104"/>
      <c r="AE306" s="102"/>
    </row>
    <row r="307" spans="1:31" ht="17.100000000000001" customHeight="1" thickBot="1" x14ac:dyDescent="0.3">
      <c r="A307" s="52"/>
      <c r="B307" s="67"/>
      <c r="C307" s="73"/>
      <c r="D307" s="74"/>
      <c r="E307" s="75"/>
      <c r="F307" s="73"/>
      <c r="G307" s="75"/>
      <c r="H307" s="60"/>
      <c r="I307" s="25"/>
      <c r="J307" s="89"/>
      <c r="K307" s="72"/>
      <c r="L307" s="19" t="s">
        <v>52</v>
      </c>
      <c r="M307" s="67"/>
      <c r="N307" s="92"/>
      <c r="O307" s="93"/>
      <c r="P307" s="92"/>
      <c r="Q307" s="93"/>
      <c r="R307" s="92"/>
      <c r="S307" s="95"/>
      <c r="T307" s="33"/>
      <c r="U307" s="79"/>
      <c r="V307" s="82"/>
      <c r="W307" s="82"/>
      <c r="X307" s="82"/>
      <c r="Y307" s="85"/>
      <c r="Z307" s="35"/>
      <c r="AA307" s="30"/>
      <c r="AB307" s="30"/>
      <c r="AC307" s="105"/>
      <c r="AD307" s="106"/>
      <c r="AE307" s="103"/>
    </row>
    <row r="308" spans="1:31" ht="17.100000000000001" customHeight="1" x14ac:dyDescent="0.25">
      <c r="A308" s="50">
        <v>46023</v>
      </c>
      <c r="B308" s="53"/>
      <c r="C308" s="55"/>
      <c r="D308" s="56"/>
      <c r="E308" s="57"/>
      <c r="F308" s="55"/>
      <c r="G308" s="57"/>
      <c r="H308" s="58"/>
      <c r="I308" s="26"/>
      <c r="J308" s="61"/>
      <c r="K308" s="64"/>
      <c r="L308" s="11"/>
      <c r="M308" s="53"/>
      <c r="N308" s="42"/>
      <c r="O308" s="43"/>
      <c r="P308" s="36"/>
      <c r="Q308" s="43"/>
      <c r="R308" s="36"/>
      <c r="S308" s="37"/>
      <c r="T308" s="76">
        <f t="shared" ref="T308" si="94">R308-P308</f>
        <v>0</v>
      </c>
      <c r="U308" s="77"/>
      <c r="V308" s="80"/>
      <c r="W308" s="80"/>
      <c r="X308" s="80"/>
      <c r="Y308" s="83"/>
      <c r="Z308" s="86"/>
      <c r="AA308" s="48"/>
      <c r="AB308" s="48"/>
      <c r="AC308" s="96"/>
      <c r="AD308" s="99"/>
      <c r="AE308" s="101"/>
    </row>
    <row r="309" spans="1:31" ht="17.100000000000001" customHeight="1" x14ac:dyDescent="0.25">
      <c r="A309" s="51"/>
      <c r="B309" s="54"/>
      <c r="C309" s="68"/>
      <c r="D309" s="69"/>
      <c r="E309" s="70"/>
      <c r="F309" s="68"/>
      <c r="G309" s="70"/>
      <c r="H309" s="59"/>
      <c r="I309" s="24"/>
      <c r="J309" s="62"/>
      <c r="K309" s="65"/>
      <c r="L309" s="17"/>
      <c r="M309" s="54"/>
      <c r="N309" s="44"/>
      <c r="O309" s="45"/>
      <c r="P309" s="38"/>
      <c r="Q309" s="45"/>
      <c r="R309" s="38"/>
      <c r="S309" s="39"/>
      <c r="T309" s="32"/>
      <c r="U309" s="78"/>
      <c r="V309" s="81"/>
      <c r="W309" s="81"/>
      <c r="X309" s="81"/>
      <c r="Y309" s="84"/>
      <c r="Z309" s="34"/>
      <c r="AA309" s="29"/>
      <c r="AB309" s="29"/>
      <c r="AC309" s="97"/>
      <c r="AD309" s="100"/>
      <c r="AE309" s="102"/>
    </row>
    <row r="310" spans="1:31" ht="17.100000000000001" customHeight="1" x14ac:dyDescent="0.25">
      <c r="A310" s="51"/>
      <c r="B310" s="66"/>
      <c r="C310" s="68"/>
      <c r="D310" s="69"/>
      <c r="E310" s="70"/>
      <c r="F310" s="68"/>
      <c r="G310" s="70"/>
      <c r="H310" s="59"/>
      <c r="I310" s="27"/>
      <c r="J310" s="63"/>
      <c r="K310" s="71"/>
      <c r="L310" s="18"/>
      <c r="M310" s="66"/>
      <c r="N310" s="46"/>
      <c r="O310" s="47"/>
      <c r="P310" s="40"/>
      <c r="Q310" s="47"/>
      <c r="R310" s="40"/>
      <c r="S310" s="41"/>
      <c r="T310" s="31">
        <f>(P311-P308)+(R308-R311)</f>
        <v>0</v>
      </c>
      <c r="U310" s="78"/>
      <c r="V310" s="81"/>
      <c r="W310" s="81"/>
      <c r="X310" s="81"/>
      <c r="Y310" s="84"/>
      <c r="Z310" s="87"/>
      <c r="AA310" s="49"/>
      <c r="AB310" s="49"/>
      <c r="AC310" s="98"/>
      <c r="AD310" s="104"/>
      <c r="AE310" s="102"/>
    </row>
    <row r="311" spans="1:31" ht="17.100000000000001" customHeight="1" x14ac:dyDescent="0.25">
      <c r="A311" s="51"/>
      <c r="B311" s="54"/>
      <c r="C311" s="68"/>
      <c r="D311" s="69"/>
      <c r="E311" s="70"/>
      <c r="F311" s="68"/>
      <c r="G311" s="70"/>
      <c r="H311" s="59"/>
      <c r="I311" s="23"/>
      <c r="J311" s="88"/>
      <c r="K311" s="65"/>
      <c r="L311" s="18"/>
      <c r="M311" s="54"/>
      <c r="N311" s="90">
        <f>(P308-N308)+(P311-P308)+(R308-R311)</f>
        <v>0</v>
      </c>
      <c r="O311" s="91"/>
      <c r="P311" s="90"/>
      <c r="Q311" s="91"/>
      <c r="R311" s="90"/>
      <c r="S311" s="94"/>
      <c r="T311" s="32"/>
      <c r="U311" s="78"/>
      <c r="V311" s="81"/>
      <c r="W311" s="81"/>
      <c r="X311" s="81"/>
      <c r="Y311" s="84"/>
      <c r="Z311" s="34"/>
      <c r="AA311" s="28"/>
      <c r="AB311" s="28"/>
      <c r="AC311" s="97"/>
      <c r="AD311" s="100"/>
      <c r="AE311" s="102"/>
    </row>
    <row r="312" spans="1:31" ht="17.100000000000001" customHeight="1" x14ac:dyDescent="0.25">
      <c r="A312" s="51"/>
      <c r="B312" s="66"/>
      <c r="C312" s="68"/>
      <c r="D312" s="69"/>
      <c r="E312" s="70"/>
      <c r="F312" s="68"/>
      <c r="G312" s="70"/>
      <c r="H312" s="59"/>
      <c r="I312" s="24"/>
      <c r="J312" s="62"/>
      <c r="K312" s="71" t="s">
        <v>51</v>
      </c>
      <c r="L312" s="16" t="s">
        <v>51</v>
      </c>
      <c r="M312" s="66" t="s">
        <v>51</v>
      </c>
      <c r="N312" s="38"/>
      <c r="O312" s="45"/>
      <c r="P312" s="38"/>
      <c r="Q312" s="45"/>
      <c r="R312" s="38"/>
      <c r="S312" s="39"/>
      <c r="T312" s="31">
        <f t="shared" ref="T312" si="95">R311-P311</f>
        <v>0</v>
      </c>
      <c r="U312" s="78"/>
      <c r="V312" s="81"/>
      <c r="W312" s="81"/>
      <c r="X312" s="81"/>
      <c r="Y312" s="84"/>
      <c r="Z312" s="34"/>
      <c r="AA312" s="29"/>
      <c r="AB312" s="29"/>
      <c r="AC312" s="97"/>
      <c r="AD312" s="104"/>
      <c r="AE312" s="102"/>
    </row>
    <row r="313" spans="1:31" ht="17.100000000000001" customHeight="1" thickBot="1" x14ac:dyDescent="0.3">
      <c r="A313" s="52"/>
      <c r="B313" s="67"/>
      <c r="C313" s="73"/>
      <c r="D313" s="74"/>
      <c r="E313" s="75"/>
      <c r="F313" s="73"/>
      <c r="G313" s="75"/>
      <c r="H313" s="60"/>
      <c r="I313" s="25"/>
      <c r="J313" s="89"/>
      <c r="K313" s="72"/>
      <c r="L313" s="19" t="s">
        <v>52</v>
      </c>
      <c r="M313" s="67"/>
      <c r="N313" s="92"/>
      <c r="O313" s="93"/>
      <c r="P313" s="92"/>
      <c r="Q313" s="93"/>
      <c r="R313" s="92"/>
      <c r="S313" s="95"/>
      <c r="T313" s="33"/>
      <c r="U313" s="79"/>
      <c r="V313" s="82"/>
      <c r="W313" s="82"/>
      <c r="X313" s="82"/>
      <c r="Y313" s="85"/>
      <c r="Z313" s="35"/>
      <c r="AA313" s="30"/>
      <c r="AB313" s="30"/>
      <c r="AC313" s="105"/>
      <c r="AD313" s="106"/>
      <c r="AE313" s="103"/>
    </row>
    <row r="314" spans="1:31" ht="17.100000000000001" customHeight="1" x14ac:dyDescent="0.25">
      <c r="A314" s="50">
        <v>46023</v>
      </c>
      <c r="B314" s="53"/>
      <c r="C314" s="55"/>
      <c r="D314" s="56"/>
      <c r="E314" s="57"/>
      <c r="F314" s="55"/>
      <c r="G314" s="57"/>
      <c r="H314" s="58"/>
      <c r="I314" s="26"/>
      <c r="J314" s="61"/>
      <c r="K314" s="64"/>
      <c r="L314" s="11"/>
      <c r="M314" s="53"/>
      <c r="N314" s="42"/>
      <c r="O314" s="43"/>
      <c r="P314" s="36"/>
      <c r="Q314" s="43"/>
      <c r="R314" s="36"/>
      <c r="S314" s="37"/>
      <c r="T314" s="76">
        <f t="shared" ref="T314" si="96">R314-P314</f>
        <v>0</v>
      </c>
      <c r="U314" s="77"/>
      <c r="V314" s="80"/>
      <c r="W314" s="80"/>
      <c r="X314" s="80"/>
      <c r="Y314" s="83"/>
      <c r="Z314" s="86"/>
      <c r="AA314" s="48"/>
      <c r="AB314" s="48"/>
      <c r="AC314" s="96"/>
      <c r="AD314" s="99"/>
      <c r="AE314" s="101"/>
    </row>
    <row r="315" spans="1:31" ht="17.100000000000001" customHeight="1" x14ac:dyDescent="0.25">
      <c r="A315" s="51"/>
      <c r="B315" s="54"/>
      <c r="C315" s="68"/>
      <c r="D315" s="69"/>
      <c r="E315" s="70"/>
      <c r="F315" s="68"/>
      <c r="G315" s="70"/>
      <c r="H315" s="59"/>
      <c r="I315" s="24"/>
      <c r="J315" s="62"/>
      <c r="K315" s="65"/>
      <c r="L315" s="17"/>
      <c r="M315" s="54"/>
      <c r="N315" s="44"/>
      <c r="O315" s="45"/>
      <c r="P315" s="38"/>
      <c r="Q315" s="45"/>
      <c r="R315" s="38"/>
      <c r="S315" s="39"/>
      <c r="T315" s="32"/>
      <c r="U315" s="78"/>
      <c r="V315" s="81"/>
      <c r="W315" s="81"/>
      <c r="X315" s="81"/>
      <c r="Y315" s="84"/>
      <c r="Z315" s="34"/>
      <c r="AA315" s="29"/>
      <c r="AB315" s="29"/>
      <c r="AC315" s="97"/>
      <c r="AD315" s="100"/>
      <c r="AE315" s="102"/>
    </row>
    <row r="316" spans="1:31" ht="17.100000000000001" customHeight="1" x14ac:dyDescent="0.25">
      <c r="A316" s="51"/>
      <c r="B316" s="66"/>
      <c r="C316" s="68"/>
      <c r="D316" s="69"/>
      <c r="E316" s="70"/>
      <c r="F316" s="68"/>
      <c r="G316" s="70"/>
      <c r="H316" s="59"/>
      <c r="I316" s="27"/>
      <c r="J316" s="63"/>
      <c r="K316" s="71"/>
      <c r="L316" s="18"/>
      <c r="M316" s="66"/>
      <c r="N316" s="46"/>
      <c r="O316" s="47"/>
      <c r="P316" s="40"/>
      <c r="Q316" s="47"/>
      <c r="R316" s="40"/>
      <c r="S316" s="41"/>
      <c r="T316" s="31">
        <f>(P317-P314)+(R314-R317)</f>
        <v>0</v>
      </c>
      <c r="U316" s="78"/>
      <c r="V316" s="81"/>
      <c r="W316" s="81"/>
      <c r="X316" s="81"/>
      <c r="Y316" s="84"/>
      <c r="Z316" s="87"/>
      <c r="AA316" s="49"/>
      <c r="AB316" s="49"/>
      <c r="AC316" s="98"/>
      <c r="AD316" s="104"/>
      <c r="AE316" s="102"/>
    </row>
    <row r="317" spans="1:31" ht="17.100000000000001" customHeight="1" x14ac:dyDescent="0.25">
      <c r="A317" s="51"/>
      <c r="B317" s="54"/>
      <c r="C317" s="68"/>
      <c r="D317" s="69"/>
      <c r="E317" s="70"/>
      <c r="F317" s="68"/>
      <c r="G317" s="70"/>
      <c r="H317" s="59"/>
      <c r="I317" s="23"/>
      <c r="J317" s="88"/>
      <c r="K317" s="65"/>
      <c r="L317" s="18"/>
      <c r="M317" s="54"/>
      <c r="N317" s="90">
        <f>(P314-N314)+(P317-P314)+(R314-R317)</f>
        <v>0</v>
      </c>
      <c r="O317" s="91"/>
      <c r="P317" s="90"/>
      <c r="Q317" s="91"/>
      <c r="R317" s="90"/>
      <c r="S317" s="94"/>
      <c r="T317" s="32"/>
      <c r="U317" s="78"/>
      <c r="V317" s="81"/>
      <c r="W317" s="81"/>
      <c r="X317" s="81"/>
      <c r="Y317" s="84"/>
      <c r="Z317" s="34"/>
      <c r="AA317" s="28"/>
      <c r="AB317" s="28"/>
      <c r="AC317" s="97"/>
      <c r="AD317" s="100"/>
      <c r="AE317" s="102"/>
    </row>
    <row r="318" spans="1:31" ht="17.100000000000001" customHeight="1" x14ac:dyDescent="0.25">
      <c r="A318" s="51"/>
      <c r="B318" s="66"/>
      <c r="C318" s="68"/>
      <c r="D318" s="69"/>
      <c r="E318" s="70"/>
      <c r="F318" s="68"/>
      <c r="G318" s="70"/>
      <c r="H318" s="59"/>
      <c r="I318" s="24"/>
      <c r="J318" s="62"/>
      <c r="K318" s="71" t="s">
        <v>51</v>
      </c>
      <c r="L318" s="16" t="s">
        <v>51</v>
      </c>
      <c r="M318" s="66" t="s">
        <v>51</v>
      </c>
      <c r="N318" s="38"/>
      <c r="O318" s="45"/>
      <c r="P318" s="38"/>
      <c r="Q318" s="45"/>
      <c r="R318" s="38"/>
      <c r="S318" s="39"/>
      <c r="T318" s="31">
        <f t="shared" ref="T318" si="97">R317-P317</f>
        <v>0</v>
      </c>
      <c r="U318" s="78"/>
      <c r="V318" s="81"/>
      <c r="W318" s="81"/>
      <c r="X318" s="81"/>
      <c r="Y318" s="84"/>
      <c r="Z318" s="34"/>
      <c r="AA318" s="29"/>
      <c r="AB318" s="29"/>
      <c r="AC318" s="97"/>
      <c r="AD318" s="104"/>
      <c r="AE318" s="102"/>
    </row>
    <row r="319" spans="1:31" ht="17.100000000000001" customHeight="1" thickBot="1" x14ac:dyDescent="0.3">
      <c r="A319" s="52"/>
      <c r="B319" s="67"/>
      <c r="C319" s="73"/>
      <c r="D319" s="74"/>
      <c r="E319" s="75"/>
      <c r="F319" s="73"/>
      <c r="G319" s="75"/>
      <c r="H319" s="60"/>
      <c r="I319" s="25"/>
      <c r="J319" s="89"/>
      <c r="K319" s="72"/>
      <c r="L319" s="19" t="s">
        <v>52</v>
      </c>
      <c r="M319" s="67"/>
      <c r="N319" s="92"/>
      <c r="O319" s="93"/>
      <c r="P319" s="92"/>
      <c r="Q319" s="93"/>
      <c r="R319" s="92"/>
      <c r="S319" s="95"/>
      <c r="T319" s="33"/>
      <c r="U319" s="79"/>
      <c r="V319" s="82"/>
      <c r="W319" s="82"/>
      <c r="X319" s="82"/>
      <c r="Y319" s="85"/>
      <c r="Z319" s="35"/>
      <c r="AA319" s="30"/>
      <c r="AB319" s="30"/>
      <c r="AC319" s="105"/>
      <c r="AD319" s="106"/>
      <c r="AE319" s="103"/>
    </row>
    <row r="321" spans="1:31" ht="17.100000000000001" customHeight="1" thickBot="1" x14ac:dyDescent="0.3"/>
    <row r="322" spans="1:31" ht="17.100000000000001" customHeight="1" x14ac:dyDescent="0.25">
      <c r="A322" s="50">
        <v>46023</v>
      </c>
      <c r="B322" s="53"/>
      <c r="C322" s="55"/>
      <c r="D322" s="56"/>
      <c r="E322" s="57"/>
      <c r="F322" s="55"/>
      <c r="G322" s="57"/>
      <c r="H322" s="58"/>
      <c r="I322" s="26"/>
      <c r="J322" s="61"/>
      <c r="K322" s="64"/>
      <c r="L322" s="11"/>
      <c r="M322" s="53"/>
      <c r="N322" s="42"/>
      <c r="O322" s="43"/>
      <c r="P322" s="36"/>
      <c r="Q322" s="43"/>
      <c r="R322" s="36"/>
      <c r="S322" s="37"/>
      <c r="T322" s="76">
        <f t="shared" ref="T322" si="98">R322-P322</f>
        <v>0</v>
      </c>
      <c r="U322" s="77"/>
      <c r="V322" s="80"/>
      <c r="W322" s="80"/>
      <c r="X322" s="80"/>
      <c r="Y322" s="83"/>
      <c r="Z322" s="86"/>
      <c r="AA322" s="48"/>
      <c r="AB322" s="48"/>
      <c r="AC322" s="96"/>
      <c r="AD322" s="99"/>
      <c r="AE322" s="101"/>
    </row>
    <row r="323" spans="1:31" ht="17.100000000000001" customHeight="1" x14ac:dyDescent="0.25">
      <c r="A323" s="51"/>
      <c r="B323" s="54"/>
      <c r="C323" s="68"/>
      <c r="D323" s="69"/>
      <c r="E323" s="70"/>
      <c r="F323" s="68"/>
      <c r="G323" s="70"/>
      <c r="H323" s="59"/>
      <c r="I323" s="24"/>
      <c r="J323" s="62"/>
      <c r="K323" s="65"/>
      <c r="L323" s="17"/>
      <c r="M323" s="54"/>
      <c r="N323" s="44"/>
      <c r="O323" s="45"/>
      <c r="P323" s="38"/>
      <c r="Q323" s="45"/>
      <c r="R323" s="38"/>
      <c r="S323" s="39"/>
      <c r="T323" s="32"/>
      <c r="U323" s="78"/>
      <c r="V323" s="81"/>
      <c r="W323" s="81"/>
      <c r="X323" s="81"/>
      <c r="Y323" s="84"/>
      <c r="Z323" s="34"/>
      <c r="AA323" s="29"/>
      <c r="AB323" s="29"/>
      <c r="AC323" s="97"/>
      <c r="AD323" s="100"/>
      <c r="AE323" s="102"/>
    </row>
    <row r="324" spans="1:31" ht="17.100000000000001" customHeight="1" x14ac:dyDescent="0.25">
      <c r="A324" s="51"/>
      <c r="B324" s="66"/>
      <c r="C324" s="68"/>
      <c r="D324" s="69"/>
      <c r="E324" s="70"/>
      <c r="F324" s="68"/>
      <c r="G324" s="70"/>
      <c r="H324" s="59"/>
      <c r="I324" s="27"/>
      <c r="J324" s="63"/>
      <c r="K324" s="71"/>
      <c r="L324" s="18"/>
      <c r="M324" s="66"/>
      <c r="N324" s="46"/>
      <c r="O324" s="47"/>
      <c r="P324" s="40"/>
      <c r="Q324" s="47"/>
      <c r="R324" s="40"/>
      <c r="S324" s="41"/>
      <c r="T324" s="31">
        <f>(P325-P322)+(R322-R325)</f>
        <v>0</v>
      </c>
      <c r="U324" s="78"/>
      <c r="V324" s="81"/>
      <c r="W324" s="81"/>
      <c r="X324" s="81"/>
      <c r="Y324" s="84"/>
      <c r="Z324" s="87"/>
      <c r="AA324" s="49"/>
      <c r="AB324" s="49"/>
      <c r="AC324" s="98"/>
      <c r="AD324" s="104"/>
      <c r="AE324" s="102"/>
    </row>
    <row r="325" spans="1:31" ht="17.100000000000001" customHeight="1" x14ac:dyDescent="0.25">
      <c r="A325" s="51"/>
      <c r="B325" s="54"/>
      <c r="C325" s="68"/>
      <c r="D325" s="69"/>
      <c r="E325" s="70"/>
      <c r="F325" s="68"/>
      <c r="G325" s="70"/>
      <c r="H325" s="59"/>
      <c r="I325" s="23"/>
      <c r="J325" s="88"/>
      <c r="K325" s="65"/>
      <c r="L325" s="18"/>
      <c r="M325" s="54"/>
      <c r="N325" s="90">
        <f>(P322-N322)+(P325-P322)+(R322-R325)</f>
        <v>0</v>
      </c>
      <c r="O325" s="91"/>
      <c r="P325" s="90"/>
      <c r="Q325" s="91"/>
      <c r="R325" s="90"/>
      <c r="S325" s="94"/>
      <c r="T325" s="32"/>
      <c r="U325" s="78"/>
      <c r="V325" s="81"/>
      <c r="W325" s="81"/>
      <c r="X325" s="81"/>
      <c r="Y325" s="84"/>
      <c r="Z325" s="34"/>
      <c r="AA325" s="28"/>
      <c r="AB325" s="28"/>
      <c r="AC325" s="97"/>
      <c r="AD325" s="100"/>
      <c r="AE325" s="102"/>
    </row>
    <row r="326" spans="1:31" ht="17.100000000000001" customHeight="1" x14ac:dyDescent="0.25">
      <c r="A326" s="51"/>
      <c r="B326" s="66"/>
      <c r="C326" s="68"/>
      <c r="D326" s="69"/>
      <c r="E326" s="70"/>
      <c r="F326" s="68"/>
      <c r="G326" s="70"/>
      <c r="H326" s="59"/>
      <c r="I326" s="24"/>
      <c r="J326" s="62"/>
      <c r="K326" s="71" t="s">
        <v>51</v>
      </c>
      <c r="L326" s="16" t="s">
        <v>51</v>
      </c>
      <c r="M326" s="66" t="s">
        <v>51</v>
      </c>
      <c r="N326" s="38"/>
      <c r="O326" s="45"/>
      <c r="P326" s="38"/>
      <c r="Q326" s="45"/>
      <c r="R326" s="38"/>
      <c r="S326" s="39"/>
      <c r="T326" s="31">
        <f t="shared" ref="T326" si="99">R325-P325</f>
        <v>0</v>
      </c>
      <c r="U326" s="78"/>
      <c r="V326" s="81"/>
      <c r="W326" s="81"/>
      <c r="X326" s="81"/>
      <c r="Y326" s="84"/>
      <c r="Z326" s="34"/>
      <c r="AA326" s="29"/>
      <c r="AB326" s="29"/>
      <c r="AC326" s="97"/>
      <c r="AD326" s="104"/>
      <c r="AE326" s="102"/>
    </row>
    <row r="327" spans="1:31" ht="17.100000000000001" customHeight="1" thickBot="1" x14ac:dyDescent="0.3">
      <c r="A327" s="52"/>
      <c r="B327" s="67"/>
      <c r="C327" s="73"/>
      <c r="D327" s="74"/>
      <c r="E327" s="75"/>
      <c r="F327" s="73"/>
      <c r="G327" s="75"/>
      <c r="H327" s="60"/>
      <c r="I327" s="25"/>
      <c r="J327" s="89"/>
      <c r="K327" s="72"/>
      <c r="L327" s="19" t="s">
        <v>52</v>
      </c>
      <c r="M327" s="67"/>
      <c r="N327" s="92"/>
      <c r="O327" s="93"/>
      <c r="P327" s="92"/>
      <c r="Q327" s="93"/>
      <c r="R327" s="92"/>
      <c r="S327" s="95"/>
      <c r="T327" s="33"/>
      <c r="U327" s="79"/>
      <c r="V327" s="82"/>
      <c r="W327" s="82"/>
      <c r="X327" s="82"/>
      <c r="Y327" s="85"/>
      <c r="Z327" s="35"/>
      <c r="AA327" s="30"/>
      <c r="AB327" s="30"/>
      <c r="AC327" s="105"/>
      <c r="AD327" s="106"/>
      <c r="AE327" s="103"/>
    </row>
    <row r="328" spans="1:31" ht="17.100000000000001" customHeight="1" x14ac:dyDescent="0.25">
      <c r="A328" s="50">
        <v>46023</v>
      </c>
      <c r="B328" s="53"/>
      <c r="C328" s="55"/>
      <c r="D328" s="56"/>
      <c r="E328" s="57"/>
      <c r="F328" s="55"/>
      <c r="G328" s="57"/>
      <c r="H328" s="58"/>
      <c r="I328" s="26"/>
      <c r="J328" s="61"/>
      <c r="K328" s="64"/>
      <c r="L328" s="11"/>
      <c r="M328" s="53"/>
      <c r="N328" s="42"/>
      <c r="O328" s="43"/>
      <c r="P328" s="36"/>
      <c r="Q328" s="43"/>
      <c r="R328" s="36"/>
      <c r="S328" s="37"/>
      <c r="T328" s="76">
        <f t="shared" ref="T328" si="100">R328-P328</f>
        <v>0</v>
      </c>
      <c r="U328" s="77"/>
      <c r="V328" s="80"/>
      <c r="W328" s="80"/>
      <c r="X328" s="80"/>
      <c r="Y328" s="83"/>
      <c r="Z328" s="86"/>
      <c r="AA328" s="48"/>
      <c r="AB328" s="48"/>
      <c r="AC328" s="96"/>
      <c r="AD328" s="99"/>
      <c r="AE328" s="101"/>
    </row>
    <row r="329" spans="1:31" ht="17.100000000000001" customHeight="1" x14ac:dyDescent="0.25">
      <c r="A329" s="51"/>
      <c r="B329" s="54"/>
      <c r="C329" s="68"/>
      <c r="D329" s="69"/>
      <c r="E329" s="70"/>
      <c r="F329" s="68"/>
      <c r="G329" s="70"/>
      <c r="H329" s="59"/>
      <c r="I329" s="24"/>
      <c r="J329" s="62"/>
      <c r="K329" s="65"/>
      <c r="L329" s="17"/>
      <c r="M329" s="54"/>
      <c r="N329" s="44"/>
      <c r="O329" s="45"/>
      <c r="P329" s="38"/>
      <c r="Q329" s="45"/>
      <c r="R329" s="38"/>
      <c r="S329" s="39"/>
      <c r="T329" s="32"/>
      <c r="U329" s="78"/>
      <c r="V329" s="81"/>
      <c r="W329" s="81"/>
      <c r="X329" s="81"/>
      <c r="Y329" s="84"/>
      <c r="Z329" s="34"/>
      <c r="AA329" s="29"/>
      <c r="AB329" s="29"/>
      <c r="AC329" s="97"/>
      <c r="AD329" s="100"/>
      <c r="AE329" s="102"/>
    </row>
    <row r="330" spans="1:31" ht="17.100000000000001" customHeight="1" x14ac:dyDescent="0.25">
      <c r="A330" s="51"/>
      <c r="B330" s="66"/>
      <c r="C330" s="68"/>
      <c r="D330" s="69"/>
      <c r="E330" s="70"/>
      <c r="F330" s="68"/>
      <c r="G330" s="70"/>
      <c r="H330" s="59"/>
      <c r="I330" s="27"/>
      <c r="J330" s="63"/>
      <c r="K330" s="71"/>
      <c r="L330" s="18"/>
      <c r="M330" s="66"/>
      <c r="N330" s="46"/>
      <c r="O330" s="47"/>
      <c r="P330" s="40"/>
      <c r="Q330" s="47"/>
      <c r="R330" s="40"/>
      <c r="S330" s="41"/>
      <c r="T330" s="31">
        <f>(P331-P328)+(R328-R331)</f>
        <v>0</v>
      </c>
      <c r="U330" s="78"/>
      <c r="V330" s="81"/>
      <c r="W330" s="81"/>
      <c r="X330" s="81"/>
      <c r="Y330" s="84"/>
      <c r="Z330" s="87"/>
      <c r="AA330" s="49"/>
      <c r="AB330" s="49"/>
      <c r="AC330" s="98"/>
      <c r="AD330" s="104"/>
      <c r="AE330" s="102"/>
    </row>
    <row r="331" spans="1:31" ht="17.100000000000001" customHeight="1" x14ac:dyDescent="0.25">
      <c r="A331" s="51"/>
      <c r="B331" s="54"/>
      <c r="C331" s="68"/>
      <c r="D331" s="69"/>
      <c r="E331" s="70"/>
      <c r="F331" s="68"/>
      <c r="G331" s="70"/>
      <c r="H331" s="59"/>
      <c r="I331" s="23"/>
      <c r="J331" s="88"/>
      <c r="K331" s="65"/>
      <c r="L331" s="18"/>
      <c r="M331" s="54"/>
      <c r="N331" s="90">
        <f>(P328-N328)+(P331-P328)+(R328-R331)</f>
        <v>0</v>
      </c>
      <c r="O331" s="91"/>
      <c r="P331" s="90"/>
      <c r="Q331" s="91"/>
      <c r="R331" s="90"/>
      <c r="S331" s="94"/>
      <c r="T331" s="32"/>
      <c r="U331" s="78"/>
      <c r="V331" s="81"/>
      <c r="W331" s="81"/>
      <c r="X331" s="81"/>
      <c r="Y331" s="84"/>
      <c r="Z331" s="34"/>
      <c r="AA331" s="28"/>
      <c r="AB331" s="28"/>
      <c r="AC331" s="97"/>
      <c r="AD331" s="100"/>
      <c r="AE331" s="102"/>
    </row>
    <row r="332" spans="1:31" ht="17.100000000000001" customHeight="1" x14ac:dyDescent="0.25">
      <c r="A332" s="51"/>
      <c r="B332" s="66"/>
      <c r="C332" s="68"/>
      <c r="D332" s="69"/>
      <c r="E332" s="70"/>
      <c r="F332" s="68"/>
      <c r="G332" s="70"/>
      <c r="H332" s="59"/>
      <c r="I332" s="24"/>
      <c r="J332" s="62"/>
      <c r="K332" s="71" t="s">
        <v>51</v>
      </c>
      <c r="L332" s="16" t="s">
        <v>51</v>
      </c>
      <c r="M332" s="66" t="s">
        <v>51</v>
      </c>
      <c r="N332" s="38"/>
      <c r="O332" s="45"/>
      <c r="P332" s="38"/>
      <c r="Q332" s="45"/>
      <c r="R332" s="38"/>
      <c r="S332" s="39"/>
      <c r="T332" s="31">
        <f t="shared" ref="T332" si="101">R331-P331</f>
        <v>0</v>
      </c>
      <c r="U332" s="78"/>
      <c r="V332" s="81"/>
      <c r="W332" s="81"/>
      <c r="X332" s="81"/>
      <c r="Y332" s="84"/>
      <c r="Z332" s="34"/>
      <c r="AA332" s="29"/>
      <c r="AB332" s="29"/>
      <c r="AC332" s="97"/>
      <c r="AD332" s="104"/>
      <c r="AE332" s="102"/>
    </row>
    <row r="333" spans="1:31" ht="17.100000000000001" customHeight="1" thickBot="1" x14ac:dyDescent="0.3">
      <c r="A333" s="52"/>
      <c r="B333" s="67"/>
      <c r="C333" s="73"/>
      <c r="D333" s="74"/>
      <c r="E333" s="75"/>
      <c r="F333" s="73"/>
      <c r="G333" s="75"/>
      <c r="H333" s="60"/>
      <c r="I333" s="25"/>
      <c r="J333" s="89"/>
      <c r="K333" s="72"/>
      <c r="L333" s="19" t="s">
        <v>52</v>
      </c>
      <c r="M333" s="67"/>
      <c r="N333" s="92"/>
      <c r="O333" s="93"/>
      <c r="P333" s="92"/>
      <c r="Q333" s="93"/>
      <c r="R333" s="92"/>
      <c r="S333" s="95"/>
      <c r="T333" s="33"/>
      <c r="U333" s="79"/>
      <c r="V333" s="82"/>
      <c r="W333" s="82"/>
      <c r="X333" s="82"/>
      <c r="Y333" s="85"/>
      <c r="Z333" s="35"/>
      <c r="AA333" s="30"/>
      <c r="AB333" s="30"/>
      <c r="AC333" s="105"/>
      <c r="AD333" s="106"/>
      <c r="AE333" s="103"/>
    </row>
    <row r="334" spans="1:31" ht="17.100000000000001" customHeight="1" x14ac:dyDescent="0.25">
      <c r="A334" s="50">
        <v>46023</v>
      </c>
      <c r="B334" s="53"/>
      <c r="C334" s="55"/>
      <c r="D334" s="56"/>
      <c r="E334" s="57"/>
      <c r="F334" s="55"/>
      <c r="G334" s="57"/>
      <c r="H334" s="58"/>
      <c r="I334" s="26"/>
      <c r="J334" s="61"/>
      <c r="K334" s="64"/>
      <c r="L334" s="11"/>
      <c r="M334" s="53"/>
      <c r="N334" s="42"/>
      <c r="O334" s="43"/>
      <c r="P334" s="36"/>
      <c r="Q334" s="43"/>
      <c r="R334" s="36"/>
      <c r="S334" s="37"/>
      <c r="T334" s="76">
        <f t="shared" ref="T334" si="102">R334-P334</f>
        <v>0</v>
      </c>
      <c r="U334" s="77"/>
      <c r="V334" s="80"/>
      <c r="W334" s="80"/>
      <c r="X334" s="80"/>
      <c r="Y334" s="83"/>
      <c r="Z334" s="86"/>
      <c r="AA334" s="48"/>
      <c r="AB334" s="48"/>
      <c r="AC334" s="96"/>
      <c r="AD334" s="99"/>
      <c r="AE334" s="101"/>
    </row>
    <row r="335" spans="1:31" ht="17.100000000000001" customHeight="1" x14ac:dyDescent="0.25">
      <c r="A335" s="51"/>
      <c r="B335" s="54"/>
      <c r="C335" s="68"/>
      <c r="D335" s="69"/>
      <c r="E335" s="70"/>
      <c r="F335" s="68"/>
      <c r="G335" s="70"/>
      <c r="H335" s="59"/>
      <c r="I335" s="24"/>
      <c r="J335" s="62"/>
      <c r="K335" s="65"/>
      <c r="L335" s="17"/>
      <c r="M335" s="54"/>
      <c r="N335" s="44"/>
      <c r="O335" s="45"/>
      <c r="P335" s="38"/>
      <c r="Q335" s="45"/>
      <c r="R335" s="38"/>
      <c r="S335" s="39"/>
      <c r="T335" s="32"/>
      <c r="U335" s="78"/>
      <c r="V335" s="81"/>
      <c r="W335" s="81"/>
      <c r="X335" s="81"/>
      <c r="Y335" s="84"/>
      <c r="Z335" s="34"/>
      <c r="AA335" s="29"/>
      <c r="AB335" s="29"/>
      <c r="AC335" s="97"/>
      <c r="AD335" s="100"/>
      <c r="AE335" s="102"/>
    </row>
    <row r="336" spans="1:31" ht="17.100000000000001" customHeight="1" x14ac:dyDescent="0.25">
      <c r="A336" s="51"/>
      <c r="B336" s="66"/>
      <c r="C336" s="68"/>
      <c r="D336" s="69"/>
      <c r="E336" s="70"/>
      <c r="F336" s="68"/>
      <c r="G336" s="70"/>
      <c r="H336" s="59"/>
      <c r="I336" s="27"/>
      <c r="J336" s="63"/>
      <c r="K336" s="71"/>
      <c r="L336" s="18"/>
      <c r="M336" s="66"/>
      <c r="N336" s="46"/>
      <c r="O336" s="47"/>
      <c r="P336" s="40"/>
      <c r="Q336" s="47"/>
      <c r="R336" s="40"/>
      <c r="S336" s="41"/>
      <c r="T336" s="31">
        <f>(P337-P334)+(R334-R337)</f>
        <v>0</v>
      </c>
      <c r="U336" s="78"/>
      <c r="V336" s="81"/>
      <c r="W336" s="81"/>
      <c r="X336" s="81"/>
      <c r="Y336" s="84"/>
      <c r="Z336" s="87"/>
      <c r="AA336" s="49"/>
      <c r="AB336" s="49"/>
      <c r="AC336" s="98"/>
      <c r="AD336" s="104"/>
      <c r="AE336" s="102"/>
    </row>
    <row r="337" spans="1:31" ht="17.100000000000001" customHeight="1" x14ac:dyDescent="0.25">
      <c r="A337" s="51"/>
      <c r="B337" s="54"/>
      <c r="C337" s="68"/>
      <c r="D337" s="69"/>
      <c r="E337" s="70"/>
      <c r="F337" s="68"/>
      <c r="G337" s="70"/>
      <c r="H337" s="59"/>
      <c r="I337" s="23"/>
      <c r="J337" s="88"/>
      <c r="K337" s="65"/>
      <c r="L337" s="18"/>
      <c r="M337" s="54"/>
      <c r="N337" s="90">
        <f>(P334-N334)+(P337-P334)+(R334-R337)</f>
        <v>0</v>
      </c>
      <c r="O337" s="91"/>
      <c r="P337" s="90"/>
      <c r="Q337" s="91"/>
      <c r="R337" s="90"/>
      <c r="S337" s="94"/>
      <c r="T337" s="32"/>
      <c r="U337" s="78"/>
      <c r="V337" s="81"/>
      <c r="W337" s="81"/>
      <c r="X337" s="81"/>
      <c r="Y337" s="84"/>
      <c r="Z337" s="34"/>
      <c r="AA337" s="28"/>
      <c r="AB337" s="28"/>
      <c r="AC337" s="97"/>
      <c r="AD337" s="100"/>
      <c r="AE337" s="102"/>
    </row>
    <row r="338" spans="1:31" ht="17.100000000000001" customHeight="1" x14ac:dyDescent="0.25">
      <c r="A338" s="51"/>
      <c r="B338" s="66"/>
      <c r="C338" s="68"/>
      <c r="D338" s="69"/>
      <c r="E338" s="70"/>
      <c r="F338" s="68"/>
      <c r="G338" s="70"/>
      <c r="H338" s="59"/>
      <c r="I338" s="24"/>
      <c r="J338" s="62"/>
      <c r="K338" s="71" t="s">
        <v>51</v>
      </c>
      <c r="L338" s="16" t="s">
        <v>51</v>
      </c>
      <c r="M338" s="66" t="s">
        <v>51</v>
      </c>
      <c r="N338" s="38"/>
      <c r="O338" s="45"/>
      <c r="P338" s="38"/>
      <c r="Q338" s="45"/>
      <c r="R338" s="38"/>
      <c r="S338" s="39"/>
      <c r="T338" s="31">
        <f t="shared" ref="T338" si="103">R337-P337</f>
        <v>0</v>
      </c>
      <c r="U338" s="78"/>
      <c r="V338" s="81"/>
      <c r="W338" s="81"/>
      <c r="X338" s="81"/>
      <c r="Y338" s="84"/>
      <c r="Z338" s="34"/>
      <c r="AA338" s="29"/>
      <c r="AB338" s="29"/>
      <c r="AC338" s="97"/>
      <c r="AD338" s="104"/>
      <c r="AE338" s="102"/>
    </row>
    <row r="339" spans="1:31" ht="17.100000000000001" customHeight="1" thickBot="1" x14ac:dyDescent="0.3">
      <c r="A339" s="52"/>
      <c r="B339" s="67"/>
      <c r="C339" s="73"/>
      <c r="D339" s="74"/>
      <c r="E339" s="75"/>
      <c r="F339" s="73"/>
      <c r="G339" s="75"/>
      <c r="H339" s="60"/>
      <c r="I339" s="25"/>
      <c r="J339" s="89"/>
      <c r="K339" s="72"/>
      <c r="L339" s="19" t="s">
        <v>52</v>
      </c>
      <c r="M339" s="67"/>
      <c r="N339" s="92"/>
      <c r="O339" s="93"/>
      <c r="P339" s="92"/>
      <c r="Q339" s="93"/>
      <c r="R339" s="92"/>
      <c r="S339" s="95"/>
      <c r="T339" s="33"/>
      <c r="U339" s="79"/>
      <c r="V339" s="82"/>
      <c r="W339" s="82"/>
      <c r="X339" s="82"/>
      <c r="Y339" s="85"/>
      <c r="Z339" s="35"/>
      <c r="AA339" s="30"/>
      <c r="AB339" s="30"/>
      <c r="AC339" s="105"/>
      <c r="AD339" s="106"/>
      <c r="AE339" s="103"/>
    </row>
    <row r="340" spans="1:31" ht="17.100000000000001" customHeight="1" x14ac:dyDescent="0.25">
      <c r="A340" s="50">
        <v>46023</v>
      </c>
      <c r="B340" s="53"/>
      <c r="C340" s="55"/>
      <c r="D340" s="56"/>
      <c r="E340" s="57"/>
      <c r="F340" s="55"/>
      <c r="G340" s="57"/>
      <c r="H340" s="58"/>
      <c r="I340" s="26"/>
      <c r="J340" s="61"/>
      <c r="K340" s="64"/>
      <c r="L340" s="11"/>
      <c r="M340" s="53"/>
      <c r="N340" s="42"/>
      <c r="O340" s="43"/>
      <c r="P340" s="36"/>
      <c r="Q340" s="43"/>
      <c r="R340" s="36"/>
      <c r="S340" s="37"/>
      <c r="T340" s="76">
        <f t="shared" ref="T340" si="104">R340-P340</f>
        <v>0</v>
      </c>
      <c r="U340" s="77"/>
      <c r="V340" s="80"/>
      <c r="W340" s="80"/>
      <c r="X340" s="80"/>
      <c r="Y340" s="83"/>
      <c r="Z340" s="86"/>
      <c r="AA340" s="48"/>
      <c r="AB340" s="48"/>
      <c r="AC340" s="96"/>
      <c r="AD340" s="99"/>
      <c r="AE340" s="101"/>
    </row>
    <row r="341" spans="1:31" ht="17.100000000000001" customHeight="1" x14ac:dyDescent="0.25">
      <c r="A341" s="51"/>
      <c r="B341" s="54"/>
      <c r="C341" s="68"/>
      <c r="D341" s="69"/>
      <c r="E341" s="70"/>
      <c r="F341" s="68"/>
      <c r="G341" s="70"/>
      <c r="H341" s="59"/>
      <c r="I341" s="24"/>
      <c r="J341" s="62"/>
      <c r="K341" s="65"/>
      <c r="L341" s="17"/>
      <c r="M341" s="54"/>
      <c r="N341" s="44"/>
      <c r="O341" s="45"/>
      <c r="P341" s="38"/>
      <c r="Q341" s="45"/>
      <c r="R341" s="38"/>
      <c r="S341" s="39"/>
      <c r="T341" s="32"/>
      <c r="U341" s="78"/>
      <c r="V341" s="81"/>
      <c r="W341" s="81"/>
      <c r="X341" s="81"/>
      <c r="Y341" s="84"/>
      <c r="Z341" s="34"/>
      <c r="AA341" s="29"/>
      <c r="AB341" s="29"/>
      <c r="AC341" s="97"/>
      <c r="AD341" s="100"/>
      <c r="AE341" s="102"/>
    </row>
    <row r="342" spans="1:31" ht="17.100000000000001" customHeight="1" x14ac:dyDescent="0.25">
      <c r="A342" s="51"/>
      <c r="B342" s="66"/>
      <c r="C342" s="68"/>
      <c r="D342" s="69"/>
      <c r="E342" s="70"/>
      <c r="F342" s="68"/>
      <c r="G342" s="70"/>
      <c r="H342" s="59"/>
      <c r="I342" s="27"/>
      <c r="J342" s="63"/>
      <c r="K342" s="71"/>
      <c r="L342" s="18"/>
      <c r="M342" s="66"/>
      <c r="N342" s="46"/>
      <c r="O342" s="47"/>
      <c r="P342" s="40"/>
      <c r="Q342" s="47"/>
      <c r="R342" s="40"/>
      <c r="S342" s="41"/>
      <c r="T342" s="31">
        <f>(P343-P340)+(R340-R343)</f>
        <v>0</v>
      </c>
      <c r="U342" s="78"/>
      <c r="V342" s="81"/>
      <c r="W342" s="81"/>
      <c r="X342" s="81"/>
      <c r="Y342" s="84"/>
      <c r="Z342" s="87"/>
      <c r="AA342" s="49"/>
      <c r="AB342" s="49"/>
      <c r="AC342" s="98"/>
      <c r="AD342" s="104"/>
      <c r="AE342" s="102"/>
    </row>
    <row r="343" spans="1:31" ht="17.100000000000001" customHeight="1" x14ac:dyDescent="0.25">
      <c r="A343" s="51"/>
      <c r="B343" s="54"/>
      <c r="C343" s="68"/>
      <c r="D343" s="69"/>
      <c r="E343" s="70"/>
      <c r="F343" s="68"/>
      <c r="G343" s="70"/>
      <c r="H343" s="59"/>
      <c r="I343" s="23"/>
      <c r="J343" s="88"/>
      <c r="K343" s="65"/>
      <c r="L343" s="18"/>
      <c r="M343" s="54"/>
      <c r="N343" s="90">
        <f>(P340-N340)+(P343-P340)+(R340-R343)</f>
        <v>0</v>
      </c>
      <c r="O343" s="91"/>
      <c r="P343" s="90"/>
      <c r="Q343" s="91"/>
      <c r="R343" s="90"/>
      <c r="S343" s="94"/>
      <c r="T343" s="32"/>
      <c r="U343" s="78"/>
      <c r="V343" s="81"/>
      <c r="W343" s="81"/>
      <c r="X343" s="81"/>
      <c r="Y343" s="84"/>
      <c r="Z343" s="34"/>
      <c r="AA343" s="28"/>
      <c r="AB343" s="28"/>
      <c r="AC343" s="97"/>
      <c r="AD343" s="100"/>
      <c r="AE343" s="102"/>
    </row>
    <row r="344" spans="1:31" ht="17.100000000000001" customHeight="1" x14ac:dyDescent="0.25">
      <c r="A344" s="51"/>
      <c r="B344" s="66"/>
      <c r="C344" s="68"/>
      <c r="D344" s="69"/>
      <c r="E344" s="70"/>
      <c r="F344" s="68"/>
      <c r="G344" s="70"/>
      <c r="H344" s="59"/>
      <c r="I344" s="24"/>
      <c r="J344" s="62"/>
      <c r="K344" s="71" t="s">
        <v>51</v>
      </c>
      <c r="L344" s="16" t="s">
        <v>51</v>
      </c>
      <c r="M344" s="66" t="s">
        <v>51</v>
      </c>
      <c r="N344" s="38"/>
      <c r="O344" s="45"/>
      <c r="P344" s="38"/>
      <c r="Q344" s="45"/>
      <c r="R344" s="38"/>
      <c r="S344" s="39"/>
      <c r="T344" s="31">
        <f t="shared" ref="T344" si="105">R343-P343</f>
        <v>0</v>
      </c>
      <c r="U344" s="78"/>
      <c r="V344" s="81"/>
      <c r="W344" s="81"/>
      <c r="X344" s="81"/>
      <c r="Y344" s="84"/>
      <c r="Z344" s="34"/>
      <c r="AA344" s="29"/>
      <c r="AB344" s="29"/>
      <c r="AC344" s="97"/>
      <c r="AD344" s="104"/>
      <c r="AE344" s="102"/>
    </row>
    <row r="345" spans="1:31" ht="17.100000000000001" customHeight="1" thickBot="1" x14ac:dyDescent="0.3">
      <c r="A345" s="52"/>
      <c r="B345" s="67"/>
      <c r="C345" s="73"/>
      <c r="D345" s="74"/>
      <c r="E345" s="75"/>
      <c r="F345" s="73"/>
      <c r="G345" s="75"/>
      <c r="H345" s="60"/>
      <c r="I345" s="25"/>
      <c r="J345" s="89"/>
      <c r="K345" s="72"/>
      <c r="L345" s="19" t="s">
        <v>52</v>
      </c>
      <c r="M345" s="67"/>
      <c r="N345" s="92"/>
      <c r="O345" s="93"/>
      <c r="P345" s="92"/>
      <c r="Q345" s="93"/>
      <c r="R345" s="92"/>
      <c r="S345" s="95"/>
      <c r="T345" s="33"/>
      <c r="U345" s="79"/>
      <c r="V345" s="82"/>
      <c r="W345" s="82"/>
      <c r="X345" s="82"/>
      <c r="Y345" s="85"/>
      <c r="Z345" s="35"/>
      <c r="AA345" s="30"/>
      <c r="AB345" s="30"/>
      <c r="AC345" s="105"/>
      <c r="AD345" s="106"/>
      <c r="AE345" s="103"/>
    </row>
    <row r="346" spans="1:31" ht="17.100000000000001" customHeight="1" x14ac:dyDescent="0.25">
      <c r="A346" s="50">
        <v>46023</v>
      </c>
      <c r="B346" s="53"/>
      <c r="C346" s="55"/>
      <c r="D346" s="56"/>
      <c r="E346" s="57"/>
      <c r="F346" s="55"/>
      <c r="G346" s="57"/>
      <c r="H346" s="58"/>
      <c r="I346" s="26"/>
      <c r="J346" s="61"/>
      <c r="K346" s="64"/>
      <c r="L346" s="11"/>
      <c r="M346" s="53"/>
      <c r="N346" s="42"/>
      <c r="O346" s="43"/>
      <c r="P346" s="36"/>
      <c r="Q346" s="43"/>
      <c r="R346" s="36"/>
      <c r="S346" s="37"/>
      <c r="T346" s="76">
        <f t="shared" ref="T346" si="106">R346-P346</f>
        <v>0</v>
      </c>
      <c r="U346" s="77"/>
      <c r="V346" s="80"/>
      <c r="W346" s="80"/>
      <c r="X346" s="80"/>
      <c r="Y346" s="83"/>
      <c r="Z346" s="86"/>
      <c r="AA346" s="48"/>
      <c r="AB346" s="48"/>
      <c r="AC346" s="96"/>
      <c r="AD346" s="99"/>
      <c r="AE346" s="101"/>
    </row>
    <row r="347" spans="1:31" ht="17.100000000000001" customHeight="1" x14ac:dyDescent="0.25">
      <c r="A347" s="51"/>
      <c r="B347" s="54"/>
      <c r="C347" s="68"/>
      <c r="D347" s="69"/>
      <c r="E347" s="70"/>
      <c r="F347" s="68"/>
      <c r="G347" s="70"/>
      <c r="H347" s="59"/>
      <c r="I347" s="24"/>
      <c r="J347" s="62"/>
      <c r="K347" s="65"/>
      <c r="L347" s="17"/>
      <c r="M347" s="54"/>
      <c r="N347" s="44"/>
      <c r="O347" s="45"/>
      <c r="P347" s="38"/>
      <c r="Q347" s="45"/>
      <c r="R347" s="38"/>
      <c r="S347" s="39"/>
      <c r="T347" s="32"/>
      <c r="U347" s="78"/>
      <c r="V347" s="81"/>
      <c r="W347" s="81"/>
      <c r="X347" s="81"/>
      <c r="Y347" s="84"/>
      <c r="Z347" s="34"/>
      <c r="AA347" s="29"/>
      <c r="AB347" s="29"/>
      <c r="AC347" s="97"/>
      <c r="AD347" s="100"/>
      <c r="AE347" s="102"/>
    </row>
    <row r="348" spans="1:31" ht="17.100000000000001" customHeight="1" x14ac:dyDescent="0.25">
      <c r="A348" s="51"/>
      <c r="B348" s="66"/>
      <c r="C348" s="68"/>
      <c r="D348" s="69"/>
      <c r="E348" s="70"/>
      <c r="F348" s="68"/>
      <c r="G348" s="70"/>
      <c r="H348" s="59"/>
      <c r="I348" s="27"/>
      <c r="J348" s="63"/>
      <c r="K348" s="71"/>
      <c r="L348" s="18"/>
      <c r="M348" s="66"/>
      <c r="N348" s="46"/>
      <c r="O348" s="47"/>
      <c r="P348" s="40"/>
      <c r="Q348" s="47"/>
      <c r="R348" s="40"/>
      <c r="S348" s="41"/>
      <c r="T348" s="31">
        <f>(P349-P346)+(R346-R349)</f>
        <v>0</v>
      </c>
      <c r="U348" s="78"/>
      <c r="V348" s="81"/>
      <c r="W348" s="81"/>
      <c r="X348" s="81"/>
      <c r="Y348" s="84"/>
      <c r="Z348" s="87"/>
      <c r="AA348" s="49"/>
      <c r="AB348" s="49"/>
      <c r="AC348" s="98"/>
      <c r="AD348" s="104"/>
      <c r="AE348" s="102"/>
    </row>
    <row r="349" spans="1:31" ht="17.100000000000001" customHeight="1" x14ac:dyDescent="0.25">
      <c r="A349" s="51"/>
      <c r="B349" s="54"/>
      <c r="C349" s="68"/>
      <c r="D349" s="69"/>
      <c r="E349" s="70"/>
      <c r="F349" s="68"/>
      <c r="G349" s="70"/>
      <c r="H349" s="59"/>
      <c r="I349" s="23"/>
      <c r="J349" s="88"/>
      <c r="K349" s="65"/>
      <c r="L349" s="18"/>
      <c r="M349" s="54"/>
      <c r="N349" s="90">
        <f>(P346-N346)+(P349-P346)+(R346-R349)</f>
        <v>0</v>
      </c>
      <c r="O349" s="91"/>
      <c r="P349" s="90"/>
      <c r="Q349" s="91"/>
      <c r="R349" s="90"/>
      <c r="S349" s="94"/>
      <c r="T349" s="32"/>
      <c r="U349" s="78"/>
      <c r="V349" s="81"/>
      <c r="W349" s="81"/>
      <c r="X349" s="81"/>
      <c r="Y349" s="84"/>
      <c r="Z349" s="34"/>
      <c r="AA349" s="28"/>
      <c r="AB349" s="28"/>
      <c r="AC349" s="97"/>
      <c r="AD349" s="100"/>
      <c r="AE349" s="102"/>
    </row>
    <row r="350" spans="1:31" ht="17.100000000000001" customHeight="1" x14ac:dyDescent="0.25">
      <c r="A350" s="51"/>
      <c r="B350" s="66"/>
      <c r="C350" s="68"/>
      <c r="D350" s="69"/>
      <c r="E350" s="70"/>
      <c r="F350" s="68"/>
      <c r="G350" s="70"/>
      <c r="H350" s="59"/>
      <c r="I350" s="24"/>
      <c r="J350" s="62"/>
      <c r="K350" s="71" t="s">
        <v>51</v>
      </c>
      <c r="L350" s="16" t="s">
        <v>51</v>
      </c>
      <c r="M350" s="66" t="s">
        <v>51</v>
      </c>
      <c r="N350" s="38"/>
      <c r="O350" s="45"/>
      <c r="P350" s="38"/>
      <c r="Q350" s="45"/>
      <c r="R350" s="38"/>
      <c r="S350" s="39"/>
      <c r="T350" s="31">
        <f t="shared" ref="T350" si="107">R349-P349</f>
        <v>0</v>
      </c>
      <c r="U350" s="78"/>
      <c r="V350" s="81"/>
      <c r="W350" s="81"/>
      <c r="X350" s="81"/>
      <c r="Y350" s="84"/>
      <c r="Z350" s="34"/>
      <c r="AA350" s="29"/>
      <c r="AB350" s="29"/>
      <c r="AC350" s="97"/>
      <c r="AD350" s="104"/>
      <c r="AE350" s="102"/>
    </row>
    <row r="351" spans="1:31" ht="17.100000000000001" customHeight="1" thickBot="1" x14ac:dyDescent="0.3">
      <c r="A351" s="52"/>
      <c r="B351" s="67"/>
      <c r="C351" s="73"/>
      <c r="D351" s="74"/>
      <c r="E351" s="75"/>
      <c r="F351" s="73"/>
      <c r="G351" s="75"/>
      <c r="H351" s="60"/>
      <c r="I351" s="25"/>
      <c r="J351" s="89"/>
      <c r="K351" s="72"/>
      <c r="L351" s="19" t="s">
        <v>52</v>
      </c>
      <c r="M351" s="67"/>
      <c r="N351" s="92"/>
      <c r="O351" s="93"/>
      <c r="P351" s="92"/>
      <c r="Q351" s="93"/>
      <c r="R351" s="92"/>
      <c r="S351" s="95"/>
      <c r="T351" s="33"/>
      <c r="U351" s="79"/>
      <c r="V351" s="82"/>
      <c r="W351" s="82"/>
      <c r="X351" s="82"/>
      <c r="Y351" s="85"/>
      <c r="Z351" s="35"/>
      <c r="AA351" s="30"/>
      <c r="AB351" s="30"/>
      <c r="AC351" s="105"/>
      <c r="AD351" s="106"/>
      <c r="AE351" s="103"/>
    </row>
    <row r="353" spans="1:31" ht="17.100000000000001" customHeight="1" thickBot="1" x14ac:dyDescent="0.3"/>
    <row r="354" spans="1:31" ht="17.100000000000001" customHeight="1" x14ac:dyDescent="0.25">
      <c r="A354" s="50">
        <v>46023</v>
      </c>
      <c r="B354" s="53"/>
      <c r="C354" s="55"/>
      <c r="D354" s="56"/>
      <c r="E354" s="57"/>
      <c r="F354" s="55"/>
      <c r="G354" s="57"/>
      <c r="H354" s="58"/>
      <c r="I354" s="26"/>
      <c r="J354" s="61"/>
      <c r="K354" s="64"/>
      <c r="L354" s="11"/>
      <c r="M354" s="53"/>
      <c r="N354" s="42"/>
      <c r="O354" s="43"/>
      <c r="P354" s="36"/>
      <c r="Q354" s="43"/>
      <c r="R354" s="36"/>
      <c r="S354" s="37"/>
      <c r="T354" s="76">
        <f t="shared" ref="T354" si="108">R354-P354</f>
        <v>0</v>
      </c>
      <c r="U354" s="77"/>
      <c r="V354" s="80"/>
      <c r="W354" s="80"/>
      <c r="X354" s="80"/>
      <c r="Y354" s="83"/>
      <c r="Z354" s="86"/>
      <c r="AA354" s="48"/>
      <c r="AB354" s="48"/>
      <c r="AC354" s="96"/>
      <c r="AD354" s="99"/>
      <c r="AE354" s="101"/>
    </row>
    <row r="355" spans="1:31" ht="17.100000000000001" customHeight="1" x14ac:dyDescent="0.25">
      <c r="A355" s="51"/>
      <c r="B355" s="54"/>
      <c r="C355" s="68"/>
      <c r="D355" s="69"/>
      <c r="E355" s="70"/>
      <c r="F355" s="68"/>
      <c r="G355" s="70"/>
      <c r="H355" s="59"/>
      <c r="I355" s="24"/>
      <c r="J355" s="62"/>
      <c r="K355" s="65"/>
      <c r="L355" s="17"/>
      <c r="M355" s="54"/>
      <c r="N355" s="44"/>
      <c r="O355" s="45"/>
      <c r="P355" s="38"/>
      <c r="Q355" s="45"/>
      <c r="R355" s="38"/>
      <c r="S355" s="39"/>
      <c r="T355" s="32"/>
      <c r="U355" s="78"/>
      <c r="V355" s="81"/>
      <c r="W355" s="81"/>
      <c r="X355" s="81"/>
      <c r="Y355" s="84"/>
      <c r="Z355" s="34"/>
      <c r="AA355" s="29"/>
      <c r="AB355" s="29"/>
      <c r="AC355" s="97"/>
      <c r="AD355" s="100"/>
      <c r="AE355" s="102"/>
    </row>
    <row r="356" spans="1:31" ht="17.100000000000001" customHeight="1" x14ac:dyDescent="0.25">
      <c r="A356" s="51"/>
      <c r="B356" s="66"/>
      <c r="C356" s="68"/>
      <c r="D356" s="69"/>
      <c r="E356" s="70"/>
      <c r="F356" s="68"/>
      <c r="G356" s="70"/>
      <c r="H356" s="59"/>
      <c r="I356" s="27"/>
      <c r="J356" s="63"/>
      <c r="K356" s="71"/>
      <c r="L356" s="18"/>
      <c r="M356" s="66"/>
      <c r="N356" s="46"/>
      <c r="O356" s="47"/>
      <c r="P356" s="40"/>
      <c r="Q356" s="47"/>
      <c r="R356" s="40"/>
      <c r="S356" s="41"/>
      <c r="T356" s="31">
        <f>(P357-P354)+(R354-R357)</f>
        <v>0</v>
      </c>
      <c r="U356" s="78"/>
      <c r="V356" s="81"/>
      <c r="W356" s="81"/>
      <c r="X356" s="81"/>
      <c r="Y356" s="84"/>
      <c r="Z356" s="87"/>
      <c r="AA356" s="49"/>
      <c r="AB356" s="49"/>
      <c r="AC356" s="98"/>
      <c r="AD356" s="104"/>
      <c r="AE356" s="102"/>
    </row>
    <row r="357" spans="1:31" ht="17.100000000000001" customHeight="1" x14ac:dyDescent="0.25">
      <c r="A357" s="51"/>
      <c r="B357" s="54"/>
      <c r="C357" s="68"/>
      <c r="D357" s="69"/>
      <c r="E357" s="70"/>
      <c r="F357" s="68"/>
      <c r="G357" s="70"/>
      <c r="H357" s="59"/>
      <c r="I357" s="23"/>
      <c r="J357" s="88"/>
      <c r="K357" s="65"/>
      <c r="L357" s="18"/>
      <c r="M357" s="54"/>
      <c r="N357" s="90">
        <f>(P354-N354)+(P357-P354)+(R354-R357)</f>
        <v>0</v>
      </c>
      <c r="O357" s="91"/>
      <c r="P357" s="90"/>
      <c r="Q357" s="91"/>
      <c r="R357" s="90"/>
      <c r="S357" s="94"/>
      <c r="T357" s="32"/>
      <c r="U357" s="78"/>
      <c r="V357" s="81"/>
      <c r="W357" s="81"/>
      <c r="X357" s="81"/>
      <c r="Y357" s="84"/>
      <c r="Z357" s="34"/>
      <c r="AA357" s="28"/>
      <c r="AB357" s="28"/>
      <c r="AC357" s="97"/>
      <c r="AD357" s="100"/>
      <c r="AE357" s="102"/>
    </row>
    <row r="358" spans="1:31" ht="17.100000000000001" customHeight="1" x14ac:dyDescent="0.25">
      <c r="A358" s="51"/>
      <c r="B358" s="66"/>
      <c r="C358" s="68"/>
      <c r="D358" s="69"/>
      <c r="E358" s="70"/>
      <c r="F358" s="68"/>
      <c r="G358" s="70"/>
      <c r="H358" s="59"/>
      <c r="I358" s="24"/>
      <c r="J358" s="62"/>
      <c r="K358" s="71" t="s">
        <v>51</v>
      </c>
      <c r="L358" s="16" t="s">
        <v>51</v>
      </c>
      <c r="M358" s="66" t="s">
        <v>51</v>
      </c>
      <c r="N358" s="38"/>
      <c r="O358" s="45"/>
      <c r="P358" s="38"/>
      <c r="Q358" s="45"/>
      <c r="R358" s="38"/>
      <c r="S358" s="39"/>
      <c r="T358" s="31">
        <f t="shared" ref="T358" si="109">R357-P357</f>
        <v>0</v>
      </c>
      <c r="U358" s="78"/>
      <c r="V358" s="81"/>
      <c r="W358" s="81"/>
      <c r="X358" s="81"/>
      <c r="Y358" s="84"/>
      <c r="Z358" s="34"/>
      <c r="AA358" s="29"/>
      <c r="AB358" s="29"/>
      <c r="AC358" s="97"/>
      <c r="AD358" s="104"/>
      <c r="AE358" s="102"/>
    </row>
    <row r="359" spans="1:31" ht="17.100000000000001" customHeight="1" thickBot="1" x14ac:dyDescent="0.3">
      <c r="A359" s="52"/>
      <c r="B359" s="67"/>
      <c r="C359" s="73"/>
      <c r="D359" s="74"/>
      <c r="E359" s="75"/>
      <c r="F359" s="73"/>
      <c r="G359" s="75"/>
      <c r="H359" s="60"/>
      <c r="I359" s="25"/>
      <c r="J359" s="89"/>
      <c r="K359" s="72"/>
      <c r="L359" s="19" t="s">
        <v>52</v>
      </c>
      <c r="M359" s="67"/>
      <c r="N359" s="92"/>
      <c r="O359" s="93"/>
      <c r="P359" s="92"/>
      <c r="Q359" s="93"/>
      <c r="R359" s="92"/>
      <c r="S359" s="95"/>
      <c r="T359" s="33"/>
      <c r="U359" s="79"/>
      <c r="V359" s="82"/>
      <c r="W359" s="82"/>
      <c r="X359" s="82"/>
      <c r="Y359" s="85"/>
      <c r="Z359" s="35"/>
      <c r="AA359" s="30"/>
      <c r="AB359" s="30"/>
      <c r="AC359" s="105"/>
      <c r="AD359" s="106"/>
      <c r="AE359" s="103"/>
    </row>
    <row r="360" spans="1:31" ht="17.100000000000001" customHeight="1" x14ac:dyDescent="0.25">
      <c r="A360" s="50">
        <v>46023</v>
      </c>
      <c r="B360" s="53"/>
      <c r="C360" s="55"/>
      <c r="D360" s="56"/>
      <c r="E360" s="57"/>
      <c r="F360" s="55"/>
      <c r="G360" s="57"/>
      <c r="H360" s="58"/>
      <c r="I360" s="26"/>
      <c r="J360" s="61"/>
      <c r="K360" s="64"/>
      <c r="L360" s="11"/>
      <c r="M360" s="53"/>
      <c r="N360" s="42"/>
      <c r="O360" s="43"/>
      <c r="P360" s="36"/>
      <c r="Q360" s="43"/>
      <c r="R360" s="36"/>
      <c r="S360" s="37"/>
      <c r="T360" s="76">
        <f t="shared" ref="T360" si="110">R360-P360</f>
        <v>0</v>
      </c>
      <c r="U360" s="77"/>
      <c r="V360" s="80"/>
      <c r="W360" s="80"/>
      <c r="X360" s="80"/>
      <c r="Y360" s="83"/>
      <c r="Z360" s="86"/>
      <c r="AA360" s="48"/>
      <c r="AB360" s="48"/>
      <c r="AC360" s="96"/>
      <c r="AD360" s="99"/>
      <c r="AE360" s="101"/>
    </row>
    <row r="361" spans="1:31" ht="17.100000000000001" customHeight="1" x14ac:dyDescent="0.25">
      <c r="A361" s="51"/>
      <c r="B361" s="54"/>
      <c r="C361" s="68"/>
      <c r="D361" s="69"/>
      <c r="E361" s="70"/>
      <c r="F361" s="68"/>
      <c r="G361" s="70"/>
      <c r="H361" s="59"/>
      <c r="I361" s="24"/>
      <c r="J361" s="62"/>
      <c r="K361" s="65"/>
      <c r="L361" s="17"/>
      <c r="M361" s="54"/>
      <c r="N361" s="44"/>
      <c r="O361" s="45"/>
      <c r="P361" s="38"/>
      <c r="Q361" s="45"/>
      <c r="R361" s="38"/>
      <c r="S361" s="39"/>
      <c r="T361" s="32"/>
      <c r="U361" s="78"/>
      <c r="V361" s="81"/>
      <c r="W361" s="81"/>
      <c r="X361" s="81"/>
      <c r="Y361" s="84"/>
      <c r="Z361" s="34"/>
      <c r="AA361" s="29"/>
      <c r="AB361" s="29"/>
      <c r="AC361" s="97"/>
      <c r="AD361" s="100"/>
      <c r="AE361" s="102"/>
    </row>
    <row r="362" spans="1:31" ht="17.100000000000001" customHeight="1" x14ac:dyDescent="0.25">
      <c r="A362" s="51"/>
      <c r="B362" s="66"/>
      <c r="C362" s="68"/>
      <c r="D362" s="69"/>
      <c r="E362" s="70"/>
      <c r="F362" s="68"/>
      <c r="G362" s="70"/>
      <c r="H362" s="59"/>
      <c r="I362" s="27"/>
      <c r="J362" s="63"/>
      <c r="K362" s="71"/>
      <c r="L362" s="18"/>
      <c r="M362" s="66"/>
      <c r="N362" s="46"/>
      <c r="O362" s="47"/>
      <c r="P362" s="40"/>
      <c r="Q362" s="47"/>
      <c r="R362" s="40"/>
      <c r="S362" s="41"/>
      <c r="T362" s="31">
        <f>(P363-P360)+(R360-R363)</f>
        <v>0</v>
      </c>
      <c r="U362" s="78"/>
      <c r="V362" s="81"/>
      <c r="W362" s="81"/>
      <c r="X362" s="81"/>
      <c r="Y362" s="84"/>
      <c r="Z362" s="87"/>
      <c r="AA362" s="49"/>
      <c r="AB362" s="49"/>
      <c r="AC362" s="98"/>
      <c r="AD362" s="104"/>
      <c r="AE362" s="102"/>
    </row>
    <row r="363" spans="1:31" ht="17.100000000000001" customHeight="1" x14ac:dyDescent="0.25">
      <c r="A363" s="51"/>
      <c r="B363" s="54"/>
      <c r="C363" s="68"/>
      <c r="D363" s="69"/>
      <c r="E363" s="70"/>
      <c r="F363" s="68"/>
      <c r="G363" s="70"/>
      <c r="H363" s="59"/>
      <c r="I363" s="23"/>
      <c r="J363" s="88"/>
      <c r="K363" s="65"/>
      <c r="L363" s="18"/>
      <c r="M363" s="54"/>
      <c r="N363" s="90">
        <f>(P360-N360)+(P363-P360)+(R360-R363)</f>
        <v>0</v>
      </c>
      <c r="O363" s="91"/>
      <c r="P363" s="90"/>
      <c r="Q363" s="91"/>
      <c r="R363" s="90"/>
      <c r="S363" s="94"/>
      <c r="T363" s="32"/>
      <c r="U363" s="78"/>
      <c r="V363" s="81"/>
      <c r="W363" s="81"/>
      <c r="X363" s="81"/>
      <c r="Y363" s="84"/>
      <c r="Z363" s="34"/>
      <c r="AA363" s="28"/>
      <c r="AB363" s="28"/>
      <c r="AC363" s="97"/>
      <c r="AD363" s="100"/>
      <c r="AE363" s="102"/>
    </row>
    <row r="364" spans="1:31" ht="17.100000000000001" customHeight="1" x14ac:dyDescent="0.25">
      <c r="A364" s="51"/>
      <c r="B364" s="66"/>
      <c r="C364" s="68"/>
      <c r="D364" s="69"/>
      <c r="E364" s="70"/>
      <c r="F364" s="68"/>
      <c r="G364" s="70"/>
      <c r="H364" s="59"/>
      <c r="I364" s="24"/>
      <c r="J364" s="62"/>
      <c r="K364" s="71" t="s">
        <v>51</v>
      </c>
      <c r="L364" s="16" t="s">
        <v>51</v>
      </c>
      <c r="M364" s="66" t="s">
        <v>51</v>
      </c>
      <c r="N364" s="38"/>
      <c r="O364" s="45"/>
      <c r="P364" s="38"/>
      <c r="Q364" s="45"/>
      <c r="R364" s="38"/>
      <c r="S364" s="39"/>
      <c r="T364" s="31">
        <f t="shared" ref="T364" si="111">R363-P363</f>
        <v>0</v>
      </c>
      <c r="U364" s="78"/>
      <c r="V364" s="81"/>
      <c r="W364" s="81"/>
      <c r="X364" s="81"/>
      <c r="Y364" s="84"/>
      <c r="Z364" s="34"/>
      <c r="AA364" s="29"/>
      <c r="AB364" s="29"/>
      <c r="AC364" s="97"/>
      <c r="AD364" s="104"/>
      <c r="AE364" s="102"/>
    </row>
    <row r="365" spans="1:31" ht="17.100000000000001" customHeight="1" thickBot="1" x14ac:dyDescent="0.3">
      <c r="A365" s="52"/>
      <c r="B365" s="67"/>
      <c r="C365" s="73"/>
      <c r="D365" s="74"/>
      <c r="E365" s="75"/>
      <c r="F365" s="73"/>
      <c r="G365" s="75"/>
      <c r="H365" s="60"/>
      <c r="I365" s="25"/>
      <c r="J365" s="89"/>
      <c r="K365" s="72"/>
      <c r="L365" s="19" t="s">
        <v>52</v>
      </c>
      <c r="M365" s="67"/>
      <c r="N365" s="92"/>
      <c r="O365" s="93"/>
      <c r="P365" s="92"/>
      <c r="Q365" s="93"/>
      <c r="R365" s="92"/>
      <c r="S365" s="95"/>
      <c r="T365" s="33"/>
      <c r="U365" s="79"/>
      <c r="V365" s="82"/>
      <c r="W365" s="82"/>
      <c r="X365" s="82"/>
      <c r="Y365" s="85"/>
      <c r="Z365" s="35"/>
      <c r="AA365" s="30"/>
      <c r="AB365" s="30"/>
      <c r="AC365" s="105"/>
      <c r="AD365" s="106"/>
      <c r="AE365" s="103"/>
    </row>
    <row r="366" spans="1:31" ht="17.100000000000001" customHeight="1" x14ac:dyDescent="0.25">
      <c r="A366" s="50">
        <v>46023</v>
      </c>
      <c r="B366" s="53"/>
      <c r="C366" s="55"/>
      <c r="D366" s="56"/>
      <c r="E366" s="57"/>
      <c r="F366" s="55"/>
      <c r="G366" s="57"/>
      <c r="H366" s="58"/>
      <c r="I366" s="26"/>
      <c r="J366" s="61"/>
      <c r="K366" s="64"/>
      <c r="L366" s="11"/>
      <c r="M366" s="53"/>
      <c r="N366" s="42"/>
      <c r="O366" s="43"/>
      <c r="P366" s="36"/>
      <c r="Q366" s="43"/>
      <c r="R366" s="36"/>
      <c r="S366" s="37"/>
      <c r="T366" s="76">
        <f t="shared" ref="T366" si="112">R366-P366</f>
        <v>0</v>
      </c>
      <c r="U366" s="77"/>
      <c r="V366" s="80"/>
      <c r="W366" s="80"/>
      <c r="X366" s="80"/>
      <c r="Y366" s="83"/>
      <c r="Z366" s="86"/>
      <c r="AA366" s="48"/>
      <c r="AB366" s="48"/>
      <c r="AC366" s="96"/>
      <c r="AD366" s="99"/>
      <c r="AE366" s="101"/>
    </row>
    <row r="367" spans="1:31" ht="17.100000000000001" customHeight="1" x14ac:dyDescent="0.25">
      <c r="A367" s="51"/>
      <c r="B367" s="54"/>
      <c r="C367" s="68"/>
      <c r="D367" s="69"/>
      <c r="E367" s="70"/>
      <c r="F367" s="68"/>
      <c r="G367" s="70"/>
      <c r="H367" s="59"/>
      <c r="I367" s="24"/>
      <c r="J367" s="62"/>
      <c r="K367" s="65"/>
      <c r="L367" s="17"/>
      <c r="M367" s="54"/>
      <c r="N367" s="44"/>
      <c r="O367" s="45"/>
      <c r="P367" s="38"/>
      <c r="Q367" s="45"/>
      <c r="R367" s="38"/>
      <c r="S367" s="39"/>
      <c r="T367" s="32"/>
      <c r="U367" s="78"/>
      <c r="V367" s="81"/>
      <c r="W367" s="81"/>
      <c r="X367" s="81"/>
      <c r="Y367" s="84"/>
      <c r="Z367" s="34"/>
      <c r="AA367" s="29"/>
      <c r="AB367" s="29"/>
      <c r="AC367" s="97"/>
      <c r="AD367" s="100"/>
      <c r="AE367" s="102"/>
    </row>
    <row r="368" spans="1:31" ht="17.100000000000001" customHeight="1" x14ac:dyDescent="0.25">
      <c r="A368" s="51"/>
      <c r="B368" s="66"/>
      <c r="C368" s="68"/>
      <c r="D368" s="69"/>
      <c r="E368" s="70"/>
      <c r="F368" s="68"/>
      <c r="G368" s="70"/>
      <c r="H368" s="59"/>
      <c r="I368" s="27"/>
      <c r="J368" s="63"/>
      <c r="K368" s="71"/>
      <c r="L368" s="18"/>
      <c r="M368" s="66"/>
      <c r="N368" s="46"/>
      <c r="O368" s="47"/>
      <c r="P368" s="40"/>
      <c r="Q368" s="47"/>
      <c r="R368" s="40"/>
      <c r="S368" s="41"/>
      <c r="T368" s="31">
        <f>(P369-P366)+(R366-R369)</f>
        <v>0</v>
      </c>
      <c r="U368" s="78"/>
      <c r="V368" s="81"/>
      <c r="W368" s="81"/>
      <c r="X368" s="81"/>
      <c r="Y368" s="84"/>
      <c r="Z368" s="87"/>
      <c r="AA368" s="49"/>
      <c r="AB368" s="49"/>
      <c r="AC368" s="98"/>
      <c r="AD368" s="104"/>
      <c r="AE368" s="102"/>
    </row>
    <row r="369" spans="1:31" ht="17.100000000000001" customHeight="1" x14ac:dyDescent="0.25">
      <c r="A369" s="51"/>
      <c r="B369" s="54"/>
      <c r="C369" s="68"/>
      <c r="D369" s="69"/>
      <c r="E369" s="70"/>
      <c r="F369" s="68"/>
      <c r="G369" s="70"/>
      <c r="H369" s="59"/>
      <c r="I369" s="23"/>
      <c r="J369" s="88"/>
      <c r="K369" s="65"/>
      <c r="L369" s="18"/>
      <c r="M369" s="54"/>
      <c r="N369" s="90">
        <f>(P366-N366)+(P369-P366)+(R366-R369)</f>
        <v>0</v>
      </c>
      <c r="O369" s="91"/>
      <c r="P369" s="90"/>
      <c r="Q369" s="91"/>
      <c r="R369" s="90"/>
      <c r="S369" s="94"/>
      <c r="T369" s="32"/>
      <c r="U369" s="78"/>
      <c r="V369" s="81"/>
      <c r="W369" s="81"/>
      <c r="X369" s="81"/>
      <c r="Y369" s="84"/>
      <c r="Z369" s="34"/>
      <c r="AA369" s="28"/>
      <c r="AB369" s="28"/>
      <c r="AC369" s="97"/>
      <c r="AD369" s="100"/>
      <c r="AE369" s="102"/>
    </row>
    <row r="370" spans="1:31" ht="17.100000000000001" customHeight="1" x14ac:dyDescent="0.25">
      <c r="A370" s="51"/>
      <c r="B370" s="66"/>
      <c r="C370" s="68"/>
      <c r="D370" s="69"/>
      <c r="E370" s="70"/>
      <c r="F370" s="68"/>
      <c r="G370" s="70"/>
      <c r="H370" s="59"/>
      <c r="I370" s="24"/>
      <c r="J370" s="62"/>
      <c r="K370" s="71" t="s">
        <v>51</v>
      </c>
      <c r="L370" s="16" t="s">
        <v>51</v>
      </c>
      <c r="M370" s="66" t="s">
        <v>51</v>
      </c>
      <c r="N370" s="38"/>
      <c r="O370" s="45"/>
      <c r="P370" s="38"/>
      <c r="Q370" s="45"/>
      <c r="R370" s="38"/>
      <c r="S370" s="39"/>
      <c r="T370" s="31">
        <f t="shared" ref="T370" si="113">R369-P369</f>
        <v>0</v>
      </c>
      <c r="U370" s="78"/>
      <c r="V370" s="81"/>
      <c r="W370" s="81"/>
      <c r="X370" s="81"/>
      <c r="Y370" s="84"/>
      <c r="Z370" s="34"/>
      <c r="AA370" s="29"/>
      <c r="AB370" s="29"/>
      <c r="AC370" s="97"/>
      <c r="AD370" s="104"/>
      <c r="AE370" s="102"/>
    </row>
    <row r="371" spans="1:31" ht="17.100000000000001" customHeight="1" thickBot="1" x14ac:dyDescent="0.3">
      <c r="A371" s="52"/>
      <c r="B371" s="67"/>
      <c r="C371" s="73"/>
      <c r="D371" s="74"/>
      <c r="E371" s="75"/>
      <c r="F371" s="73"/>
      <c r="G371" s="75"/>
      <c r="H371" s="60"/>
      <c r="I371" s="25"/>
      <c r="J371" s="89"/>
      <c r="K371" s="72"/>
      <c r="L371" s="19" t="s">
        <v>52</v>
      </c>
      <c r="M371" s="67"/>
      <c r="N371" s="92"/>
      <c r="O371" s="93"/>
      <c r="P371" s="92"/>
      <c r="Q371" s="93"/>
      <c r="R371" s="92"/>
      <c r="S371" s="95"/>
      <c r="T371" s="33"/>
      <c r="U371" s="79"/>
      <c r="V371" s="82"/>
      <c r="W371" s="82"/>
      <c r="X371" s="82"/>
      <c r="Y371" s="85"/>
      <c r="Z371" s="35"/>
      <c r="AA371" s="30"/>
      <c r="AB371" s="30"/>
      <c r="AC371" s="105"/>
      <c r="AD371" s="106"/>
      <c r="AE371" s="103"/>
    </row>
    <row r="372" spans="1:31" ht="17.100000000000001" customHeight="1" x14ac:dyDescent="0.25">
      <c r="A372" s="50">
        <v>46023</v>
      </c>
      <c r="B372" s="53"/>
      <c r="C372" s="55"/>
      <c r="D372" s="56"/>
      <c r="E372" s="57"/>
      <c r="F372" s="55"/>
      <c r="G372" s="57"/>
      <c r="H372" s="58"/>
      <c r="I372" s="26"/>
      <c r="J372" s="61"/>
      <c r="K372" s="64"/>
      <c r="L372" s="11"/>
      <c r="M372" s="53"/>
      <c r="N372" s="42"/>
      <c r="O372" s="43"/>
      <c r="P372" s="36"/>
      <c r="Q372" s="43"/>
      <c r="R372" s="36"/>
      <c r="S372" s="37"/>
      <c r="T372" s="76">
        <f t="shared" ref="T372" si="114">R372-P372</f>
        <v>0</v>
      </c>
      <c r="U372" s="77"/>
      <c r="V372" s="80"/>
      <c r="W372" s="80"/>
      <c r="X372" s="80"/>
      <c r="Y372" s="83"/>
      <c r="Z372" s="86"/>
      <c r="AA372" s="48"/>
      <c r="AB372" s="48"/>
      <c r="AC372" s="96"/>
      <c r="AD372" s="99"/>
      <c r="AE372" s="101"/>
    </row>
    <row r="373" spans="1:31" ht="17.100000000000001" customHeight="1" x14ac:dyDescent="0.25">
      <c r="A373" s="51"/>
      <c r="B373" s="54"/>
      <c r="C373" s="68"/>
      <c r="D373" s="69"/>
      <c r="E373" s="70"/>
      <c r="F373" s="68"/>
      <c r="G373" s="70"/>
      <c r="H373" s="59"/>
      <c r="I373" s="24"/>
      <c r="J373" s="62"/>
      <c r="K373" s="65"/>
      <c r="L373" s="17"/>
      <c r="M373" s="54"/>
      <c r="N373" s="44"/>
      <c r="O373" s="45"/>
      <c r="P373" s="38"/>
      <c r="Q373" s="45"/>
      <c r="R373" s="38"/>
      <c r="S373" s="39"/>
      <c r="T373" s="32"/>
      <c r="U373" s="78"/>
      <c r="V373" s="81"/>
      <c r="W373" s="81"/>
      <c r="X373" s="81"/>
      <c r="Y373" s="84"/>
      <c r="Z373" s="34"/>
      <c r="AA373" s="29"/>
      <c r="AB373" s="29"/>
      <c r="AC373" s="97"/>
      <c r="AD373" s="100"/>
      <c r="AE373" s="102"/>
    </row>
    <row r="374" spans="1:31" ht="17.100000000000001" customHeight="1" x14ac:dyDescent="0.25">
      <c r="A374" s="51"/>
      <c r="B374" s="66"/>
      <c r="C374" s="68"/>
      <c r="D374" s="69"/>
      <c r="E374" s="70"/>
      <c r="F374" s="68"/>
      <c r="G374" s="70"/>
      <c r="H374" s="59"/>
      <c r="I374" s="27"/>
      <c r="J374" s="63"/>
      <c r="K374" s="71"/>
      <c r="L374" s="18"/>
      <c r="M374" s="66"/>
      <c r="N374" s="46"/>
      <c r="O374" s="47"/>
      <c r="P374" s="40"/>
      <c r="Q374" s="47"/>
      <c r="R374" s="40"/>
      <c r="S374" s="41"/>
      <c r="T374" s="31">
        <f>(P375-P372)+(R372-R375)</f>
        <v>0</v>
      </c>
      <c r="U374" s="78"/>
      <c r="V374" s="81"/>
      <c r="W374" s="81"/>
      <c r="X374" s="81"/>
      <c r="Y374" s="84"/>
      <c r="Z374" s="87"/>
      <c r="AA374" s="49"/>
      <c r="AB374" s="49"/>
      <c r="AC374" s="98"/>
      <c r="AD374" s="104"/>
      <c r="AE374" s="102"/>
    </row>
    <row r="375" spans="1:31" ht="17.100000000000001" customHeight="1" x14ac:dyDescent="0.25">
      <c r="A375" s="51"/>
      <c r="B375" s="54"/>
      <c r="C375" s="68"/>
      <c r="D375" s="69"/>
      <c r="E375" s="70"/>
      <c r="F375" s="68"/>
      <c r="G375" s="70"/>
      <c r="H375" s="59"/>
      <c r="I375" s="23"/>
      <c r="J375" s="88"/>
      <c r="K375" s="65"/>
      <c r="L375" s="18"/>
      <c r="M375" s="54"/>
      <c r="N375" s="90">
        <f>(P372-N372)+(P375-P372)+(R372-R375)</f>
        <v>0</v>
      </c>
      <c r="O375" s="91"/>
      <c r="P375" s="90"/>
      <c r="Q375" s="91"/>
      <c r="R375" s="90"/>
      <c r="S375" s="94"/>
      <c r="T375" s="32"/>
      <c r="U375" s="78"/>
      <c r="V375" s="81"/>
      <c r="W375" s="81"/>
      <c r="X375" s="81"/>
      <c r="Y375" s="84"/>
      <c r="Z375" s="34"/>
      <c r="AA375" s="28"/>
      <c r="AB375" s="28"/>
      <c r="AC375" s="97"/>
      <c r="AD375" s="100"/>
      <c r="AE375" s="102"/>
    </row>
    <row r="376" spans="1:31" ht="17.100000000000001" customHeight="1" x14ac:dyDescent="0.25">
      <c r="A376" s="51"/>
      <c r="B376" s="66"/>
      <c r="C376" s="68"/>
      <c r="D376" s="69"/>
      <c r="E376" s="70"/>
      <c r="F376" s="68"/>
      <c r="G376" s="70"/>
      <c r="H376" s="59"/>
      <c r="I376" s="24"/>
      <c r="J376" s="62"/>
      <c r="K376" s="71" t="s">
        <v>51</v>
      </c>
      <c r="L376" s="16" t="s">
        <v>51</v>
      </c>
      <c r="M376" s="66" t="s">
        <v>51</v>
      </c>
      <c r="N376" s="38"/>
      <c r="O376" s="45"/>
      <c r="P376" s="38"/>
      <c r="Q376" s="45"/>
      <c r="R376" s="38"/>
      <c r="S376" s="39"/>
      <c r="T376" s="31">
        <f t="shared" ref="T376" si="115">R375-P375</f>
        <v>0</v>
      </c>
      <c r="U376" s="78"/>
      <c r="V376" s="81"/>
      <c r="W376" s="81"/>
      <c r="X376" s="81"/>
      <c r="Y376" s="84"/>
      <c r="Z376" s="34"/>
      <c r="AA376" s="29"/>
      <c r="AB376" s="29"/>
      <c r="AC376" s="97"/>
      <c r="AD376" s="104"/>
      <c r="AE376" s="102"/>
    </row>
    <row r="377" spans="1:31" ht="17.100000000000001" customHeight="1" thickBot="1" x14ac:dyDescent="0.3">
      <c r="A377" s="52"/>
      <c r="B377" s="67"/>
      <c r="C377" s="73"/>
      <c r="D377" s="74"/>
      <c r="E377" s="75"/>
      <c r="F377" s="73"/>
      <c r="G377" s="75"/>
      <c r="H377" s="60"/>
      <c r="I377" s="25"/>
      <c r="J377" s="89"/>
      <c r="K377" s="72"/>
      <c r="L377" s="19" t="s">
        <v>52</v>
      </c>
      <c r="M377" s="67"/>
      <c r="N377" s="92"/>
      <c r="O377" s="93"/>
      <c r="P377" s="92"/>
      <c r="Q377" s="93"/>
      <c r="R377" s="92"/>
      <c r="S377" s="95"/>
      <c r="T377" s="33"/>
      <c r="U377" s="79"/>
      <c r="V377" s="82"/>
      <c r="W377" s="82"/>
      <c r="X377" s="82"/>
      <c r="Y377" s="85"/>
      <c r="Z377" s="35"/>
      <c r="AA377" s="30"/>
      <c r="AB377" s="30"/>
      <c r="AC377" s="105"/>
      <c r="AD377" s="106"/>
      <c r="AE377" s="103"/>
    </row>
    <row r="378" spans="1:31" ht="17.100000000000001" customHeight="1" x14ac:dyDescent="0.25">
      <c r="A378" s="50">
        <v>46023</v>
      </c>
      <c r="B378" s="53"/>
      <c r="C378" s="55"/>
      <c r="D378" s="56"/>
      <c r="E378" s="57"/>
      <c r="F378" s="55"/>
      <c r="G378" s="57"/>
      <c r="H378" s="58"/>
      <c r="I378" s="26"/>
      <c r="J378" s="61"/>
      <c r="K378" s="64"/>
      <c r="L378" s="11"/>
      <c r="M378" s="53"/>
      <c r="N378" s="42"/>
      <c r="O378" s="43"/>
      <c r="P378" s="36"/>
      <c r="Q378" s="43"/>
      <c r="R378" s="36"/>
      <c r="S378" s="37"/>
      <c r="T378" s="76">
        <f t="shared" ref="T378" si="116">R378-P378</f>
        <v>0</v>
      </c>
      <c r="U378" s="77"/>
      <c r="V378" s="80"/>
      <c r="W378" s="80"/>
      <c r="X378" s="80"/>
      <c r="Y378" s="83"/>
      <c r="Z378" s="86"/>
      <c r="AA378" s="48"/>
      <c r="AB378" s="48"/>
      <c r="AC378" s="96"/>
      <c r="AD378" s="99"/>
      <c r="AE378" s="101"/>
    </row>
    <row r="379" spans="1:31" ht="17.100000000000001" customHeight="1" x14ac:dyDescent="0.25">
      <c r="A379" s="51"/>
      <c r="B379" s="54"/>
      <c r="C379" s="68"/>
      <c r="D379" s="69"/>
      <c r="E379" s="70"/>
      <c r="F379" s="68"/>
      <c r="G379" s="70"/>
      <c r="H379" s="59"/>
      <c r="I379" s="24"/>
      <c r="J379" s="62"/>
      <c r="K379" s="65"/>
      <c r="L379" s="17"/>
      <c r="M379" s="54"/>
      <c r="N379" s="44"/>
      <c r="O379" s="45"/>
      <c r="P379" s="38"/>
      <c r="Q379" s="45"/>
      <c r="R379" s="38"/>
      <c r="S379" s="39"/>
      <c r="T379" s="32"/>
      <c r="U379" s="78"/>
      <c r="V379" s="81"/>
      <c r="W379" s="81"/>
      <c r="X379" s="81"/>
      <c r="Y379" s="84"/>
      <c r="Z379" s="34"/>
      <c r="AA379" s="29"/>
      <c r="AB379" s="29"/>
      <c r="AC379" s="97"/>
      <c r="AD379" s="100"/>
      <c r="AE379" s="102"/>
    </row>
    <row r="380" spans="1:31" ht="17.100000000000001" customHeight="1" x14ac:dyDescent="0.25">
      <c r="A380" s="51"/>
      <c r="B380" s="66"/>
      <c r="C380" s="68"/>
      <c r="D380" s="69"/>
      <c r="E380" s="70"/>
      <c r="F380" s="68"/>
      <c r="G380" s="70"/>
      <c r="H380" s="59"/>
      <c r="I380" s="27"/>
      <c r="J380" s="63"/>
      <c r="K380" s="71"/>
      <c r="L380" s="18"/>
      <c r="M380" s="66"/>
      <c r="N380" s="46"/>
      <c r="O380" s="47"/>
      <c r="P380" s="40"/>
      <c r="Q380" s="47"/>
      <c r="R380" s="40"/>
      <c r="S380" s="41"/>
      <c r="T380" s="31">
        <f>(P381-P378)+(R378-R381)</f>
        <v>0</v>
      </c>
      <c r="U380" s="78"/>
      <c r="V380" s="81"/>
      <c r="W380" s="81"/>
      <c r="X380" s="81"/>
      <c r="Y380" s="84"/>
      <c r="Z380" s="87"/>
      <c r="AA380" s="49"/>
      <c r="AB380" s="49"/>
      <c r="AC380" s="98"/>
      <c r="AD380" s="104"/>
      <c r="AE380" s="102"/>
    </row>
    <row r="381" spans="1:31" ht="17.100000000000001" customHeight="1" x14ac:dyDescent="0.25">
      <c r="A381" s="51"/>
      <c r="B381" s="54"/>
      <c r="C381" s="68"/>
      <c r="D381" s="69"/>
      <c r="E381" s="70"/>
      <c r="F381" s="68"/>
      <c r="G381" s="70"/>
      <c r="H381" s="59"/>
      <c r="I381" s="23"/>
      <c r="J381" s="88"/>
      <c r="K381" s="65"/>
      <c r="L381" s="18"/>
      <c r="M381" s="54"/>
      <c r="N381" s="90">
        <f>(P378-N378)+(P381-P378)+(R378-R381)</f>
        <v>0</v>
      </c>
      <c r="O381" s="91"/>
      <c r="P381" s="90"/>
      <c r="Q381" s="91"/>
      <c r="R381" s="90"/>
      <c r="S381" s="94"/>
      <c r="T381" s="32"/>
      <c r="U381" s="78"/>
      <c r="V381" s="81"/>
      <c r="W381" s="81"/>
      <c r="X381" s="81"/>
      <c r="Y381" s="84"/>
      <c r="Z381" s="34"/>
      <c r="AA381" s="28"/>
      <c r="AB381" s="28"/>
      <c r="AC381" s="97"/>
      <c r="AD381" s="100"/>
      <c r="AE381" s="102"/>
    </row>
    <row r="382" spans="1:31" ht="17.100000000000001" customHeight="1" x14ac:dyDescent="0.25">
      <c r="A382" s="51"/>
      <c r="B382" s="66"/>
      <c r="C382" s="68"/>
      <c r="D382" s="69"/>
      <c r="E382" s="70"/>
      <c r="F382" s="68"/>
      <c r="G382" s="70"/>
      <c r="H382" s="59"/>
      <c r="I382" s="24"/>
      <c r="J382" s="62"/>
      <c r="K382" s="71" t="s">
        <v>51</v>
      </c>
      <c r="L382" s="16" t="s">
        <v>51</v>
      </c>
      <c r="M382" s="66" t="s">
        <v>51</v>
      </c>
      <c r="N382" s="38"/>
      <c r="O382" s="45"/>
      <c r="P382" s="38"/>
      <c r="Q382" s="45"/>
      <c r="R382" s="38"/>
      <c r="S382" s="39"/>
      <c r="T382" s="31">
        <f t="shared" ref="T382" si="117">R381-P381</f>
        <v>0</v>
      </c>
      <c r="U382" s="78"/>
      <c r="V382" s="81"/>
      <c r="W382" s="81"/>
      <c r="X382" s="81"/>
      <c r="Y382" s="84"/>
      <c r="Z382" s="34"/>
      <c r="AA382" s="29"/>
      <c r="AB382" s="29"/>
      <c r="AC382" s="97"/>
      <c r="AD382" s="104"/>
      <c r="AE382" s="102"/>
    </row>
    <row r="383" spans="1:31" ht="17.100000000000001" customHeight="1" thickBot="1" x14ac:dyDescent="0.3">
      <c r="A383" s="52"/>
      <c r="B383" s="67"/>
      <c r="C383" s="73"/>
      <c r="D383" s="74"/>
      <c r="E383" s="75"/>
      <c r="F383" s="73"/>
      <c r="G383" s="75"/>
      <c r="H383" s="60"/>
      <c r="I383" s="25"/>
      <c r="J383" s="89"/>
      <c r="K383" s="72"/>
      <c r="L383" s="19" t="s">
        <v>52</v>
      </c>
      <c r="M383" s="67"/>
      <c r="N383" s="92"/>
      <c r="O383" s="93"/>
      <c r="P383" s="92"/>
      <c r="Q383" s="93"/>
      <c r="R383" s="92"/>
      <c r="S383" s="95"/>
      <c r="T383" s="33"/>
      <c r="U383" s="79"/>
      <c r="V383" s="82"/>
      <c r="W383" s="82"/>
      <c r="X383" s="82"/>
      <c r="Y383" s="85"/>
      <c r="Z383" s="35"/>
      <c r="AA383" s="30"/>
      <c r="AB383" s="30"/>
      <c r="AC383" s="105"/>
      <c r="AD383" s="106"/>
      <c r="AE383" s="103"/>
    </row>
    <row r="385" spans="1:31" ht="17.100000000000001" customHeight="1" thickBot="1" x14ac:dyDescent="0.3"/>
    <row r="386" spans="1:31" ht="17.100000000000001" customHeight="1" x14ac:dyDescent="0.25">
      <c r="A386" s="50">
        <v>46023</v>
      </c>
      <c r="B386" s="53"/>
      <c r="C386" s="55"/>
      <c r="D386" s="56"/>
      <c r="E386" s="57"/>
      <c r="F386" s="55"/>
      <c r="G386" s="57"/>
      <c r="H386" s="58"/>
      <c r="I386" s="26"/>
      <c r="J386" s="61"/>
      <c r="K386" s="64"/>
      <c r="L386" s="11"/>
      <c r="M386" s="53"/>
      <c r="N386" s="42"/>
      <c r="O386" s="43"/>
      <c r="P386" s="36"/>
      <c r="Q386" s="43"/>
      <c r="R386" s="36"/>
      <c r="S386" s="37"/>
      <c r="T386" s="76">
        <f t="shared" ref="T386" si="118">R386-P386</f>
        <v>0</v>
      </c>
      <c r="U386" s="77"/>
      <c r="V386" s="80"/>
      <c r="W386" s="80"/>
      <c r="X386" s="80"/>
      <c r="Y386" s="83"/>
      <c r="Z386" s="86"/>
      <c r="AA386" s="48"/>
      <c r="AB386" s="48"/>
      <c r="AC386" s="96"/>
      <c r="AD386" s="99"/>
      <c r="AE386" s="101"/>
    </row>
    <row r="387" spans="1:31" ht="17.100000000000001" customHeight="1" x14ac:dyDescent="0.25">
      <c r="A387" s="51"/>
      <c r="B387" s="54"/>
      <c r="C387" s="68"/>
      <c r="D387" s="69"/>
      <c r="E387" s="70"/>
      <c r="F387" s="68"/>
      <c r="G387" s="70"/>
      <c r="H387" s="59"/>
      <c r="I387" s="24"/>
      <c r="J387" s="62"/>
      <c r="K387" s="65"/>
      <c r="L387" s="17"/>
      <c r="M387" s="54"/>
      <c r="N387" s="44"/>
      <c r="O387" s="45"/>
      <c r="P387" s="38"/>
      <c r="Q387" s="45"/>
      <c r="R387" s="38"/>
      <c r="S387" s="39"/>
      <c r="T387" s="32"/>
      <c r="U387" s="78"/>
      <c r="V387" s="81"/>
      <c r="W387" s="81"/>
      <c r="X387" s="81"/>
      <c r="Y387" s="84"/>
      <c r="Z387" s="34"/>
      <c r="AA387" s="29"/>
      <c r="AB387" s="29"/>
      <c r="AC387" s="97"/>
      <c r="AD387" s="100"/>
      <c r="AE387" s="102"/>
    </row>
    <row r="388" spans="1:31" ht="17.100000000000001" customHeight="1" x14ac:dyDescent="0.25">
      <c r="A388" s="51"/>
      <c r="B388" s="66"/>
      <c r="C388" s="68"/>
      <c r="D388" s="69"/>
      <c r="E388" s="70"/>
      <c r="F388" s="68"/>
      <c r="G388" s="70"/>
      <c r="H388" s="59"/>
      <c r="I388" s="27"/>
      <c r="J388" s="63"/>
      <c r="K388" s="71"/>
      <c r="L388" s="18"/>
      <c r="M388" s="66"/>
      <c r="N388" s="46"/>
      <c r="O388" s="47"/>
      <c r="P388" s="40"/>
      <c r="Q388" s="47"/>
      <c r="R388" s="40"/>
      <c r="S388" s="41"/>
      <c r="T388" s="31">
        <f>(P389-P386)+(R386-R389)</f>
        <v>0</v>
      </c>
      <c r="U388" s="78"/>
      <c r="V388" s="81"/>
      <c r="W388" s="81"/>
      <c r="X388" s="81"/>
      <c r="Y388" s="84"/>
      <c r="Z388" s="87"/>
      <c r="AA388" s="49"/>
      <c r="AB388" s="49"/>
      <c r="AC388" s="98"/>
      <c r="AD388" s="104"/>
      <c r="AE388" s="102"/>
    </row>
    <row r="389" spans="1:31" ht="17.100000000000001" customHeight="1" x14ac:dyDescent="0.25">
      <c r="A389" s="51"/>
      <c r="B389" s="54"/>
      <c r="C389" s="68"/>
      <c r="D389" s="69"/>
      <c r="E389" s="70"/>
      <c r="F389" s="68"/>
      <c r="G389" s="70"/>
      <c r="H389" s="59"/>
      <c r="I389" s="23"/>
      <c r="J389" s="88"/>
      <c r="K389" s="65"/>
      <c r="L389" s="18"/>
      <c r="M389" s="54"/>
      <c r="N389" s="90">
        <f>(P386-N386)+(P389-P386)+(R386-R389)</f>
        <v>0</v>
      </c>
      <c r="O389" s="91"/>
      <c r="P389" s="90"/>
      <c r="Q389" s="91"/>
      <c r="R389" s="90"/>
      <c r="S389" s="94"/>
      <c r="T389" s="32"/>
      <c r="U389" s="78"/>
      <c r="V389" s="81"/>
      <c r="W389" s="81"/>
      <c r="X389" s="81"/>
      <c r="Y389" s="84"/>
      <c r="Z389" s="34"/>
      <c r="AA389" s="28"/>
      <c r="AB389" s="28"/>
      <c r="AC389" s="97"/>
      <c r="AD389" s="100"/>
      <c r="AE389" s="102"/>
    </row>
    <row r="390" spans="1:31" ht="17.100000000000001" customHeight="1" x14ac:dyDescent="0.25">
      <c r="A390" s="51"/>
      <c r="B390" s="66"/>
      <c r="C390" s="68"/>
      <c r="D390" s="69"/>
      <c r="E390" s="70"/>
      <c r="F390" s="68"/>
      <c r="G390" s="70"/>
      <c r="H390" s="59"/>
      <c r="I390" s="24"/>
      <c r="J390" s="62"/>
      <c r="K390" s="71" t="s">
        <v>51</v>
      </c>
      <c r="L390" s="16" t="s">
        <v>51</v>
      </c>
      <c r="M390" s="66" t="s">
        <v>51</v>
      </c>
      <c r="N390" s="38"/>
      <c r="O390" s="45"/>
      <c r="P390" s="38"/>
      <c r="Q390" s="45"/>
      <c r="R390" s="38"/>
      <c r="S390" s="39"/>
      <c r="T390" s="31">
        <f t="shared" ref="T390" si="119">R389-P389</f>
        <v>0</v>
      </c>
      <c r="U390" s="78"/>
      <c r="V390" s="81"/>
      <c r="W390" s="81"/>
      <c r="X390" s="81"/>
      <c r="Y390" s="84"/>
      <c r="Z390" s="34"/>
      <c r="AA390" s="29"/>
      <c r="AB390" s="29"/>
      <c r="AC390" s="97"/>
      <c r="AD390" s="104"/>
      <c r="AE390" s="102"/>
    </row>
    <row r="391" spans="1:31" ht="17.100000000000001" customHeight="1" thickBot="1" x14ac:dyDescent="0.3">
      <c r="A391" s="52"/>
      <c r="B391" s="67"/>
      <c r="C391" s="73"/>
      <c r="D391" s="74"/>
      <c r="E391" s="75"/>
      <c r="F391" s="73"/>
      <c r="G391" s="75"/>
      <c r="H391" s="60"/>
      <c r="I391" s="25"/>
      <c r="J391" s="89"/>
      <c r="K391" s="72"/>
      <c r="L391" s="19" t="s">
        <v>52</v>
      </c>
      <c r="M391" s="67"/>
      <c r="N391" s="92"/>
      <c r="O391" s="93"/>
      <c r="P391" s="92"/>
      <c r="Q391" s="93"/>
      <c r="R391" s="92"/>
      <c r="S391" s="95"/>
      <c r="T391" s="33"/>
      <c r="U391" s="79"/>
      <c r="V391" s="82"/>
      <c r="W391" s="82"/>
      <c r="X391" s="82"/>
      <c r="Y391" s="85"/>
      <c r="Z391" s="35"/>
      <c r="AA391" s="30"/>
      <c r="AB391" s="30"/>
      <c r="AC391" s="105"/>
      <c r="AD391" s="106"/>
      <c r="AE391" s="103"/>
    </row>
    <row r="392" spans="1:31" ht="17.100000000000001" customHeight="1" x14ac:dyDescent="0.25">
      <c r="A392" s="50">
        <v>46023</v>
      </c>
      <c r="B392" s="53"/>
      <c r="C392" s="55"/>
      <c r="D392" s="56"/>
      <c r="E392" s="57"/>
      <c r="F392" s="55"/>
      <c r="G392" s="57"/>
      <c r="H392" s="58"/>
      <c r="I392" s="26"/>
      <c r="J392" s="61"/>
      <c r="K392" s="64"/>
      <c r="L392" s="11"/>
      <c r="M392" s="53"/>
      <c r="N392" s="42"/>
      <c r="O392" s="43"/>
      <c r="P392" s="36"/>
      <c r="Q392" s="43"/>
      <c r="R392" s="36"/>
      <c r="S392" s="37"/>
      <c r="T392" s="76">
        <f t="shared" ref="T392" si="120">R392-P392</f>
        <v>0</v>
      </c>
      <c r="U392" s="77"/>
      <c r="V392" s="80"/>
      <c r="W392" s="80"/>
      <c r="X392" s="80"/>
      <c r="Y392" s="83"/>
      <c r="Z392" s="86"/>
      <c r="AA392" s="48"/>
      <c r="AB392" s="48"/>
      <c r="AC392" s="96"/>
      <c r="AD392" s="99"/>
      <c r="AE392" s="101"/>
    </row>
    <row r="393" spans="1:31" ht="17.100000000000001" customHeight="1" x14ac:dyDescent="0.25">
      <c r="A393" s="51"/>
      <c r="B393" s="54"/>
      <c r="C393" s="68"/>
      <c r="D393" s="69"/>
      <c r="E393" s="70"/>
      <c r="F393" s="68"/>
      <c r="G393" s="70"/>
      <c r="H393" s="59"/>
      <c r="I393" s="24"/>
      <c r="J393" s="62"/>
      <c r="K393" s="65"/>
      <c r="L393" s="17"/>
      <c r="M393" s="54"/>
      <c r="N393" s="44"/>
      <c r="O393" s="45"/>
      <c r="P393" s="38"/>
      <c r="Q393" s="45"/>
      <c r="R393" s="38"/>
      <c r="S393" s="39"/>
      <c r="T393" s="32"/>
      <c r="U393" s="78"/>
      <c r="V393" s="81"/>
      <c r="W393" s="81"/>
      <c r="X393" s="81"/>
      <c r="Y393" s="84"/>
      <c r="Z393" s="34"/>
      <c r="AA393" s="29"/>
      <c r="AB393" s="29"/>
      <c r="AC393" s="97"/>
      <c r="AD393" s="100"/>
      <c r="AE393" s="102"/>
    </row>
    <row r="394" spans="1:31" ht="17.100000000000001" customHeight="1" x14ac:dyDescent="0.25">
      <c r="A394" s="51"/>
      <c r="B394" s="66"/>
      <c r="C394" s="68"/>
      <c r="D394" s="69"/>
      <c r="E394" s="70"/>
      <c r="F394" s="68"/>
      <c r="G394" s="70"/>
      <c r="H394" s="59"/>
      <c r="I394" s="27"/>
      <c r="J394" s="63"/>
      <c r="K394" s="71"/>
      <c r="L394" s="18"/>
      <c r="M394" s="66"/>
      <c r="N394" s="46"/>
      <c r="O394" s="47"/>
      <c r="P394" s="40"/>
      <c r="Q394" s="47"/>
      <c r="R394" s="40"/>
      <c r="S394" s="41"/>
      <c r="T394" s="31">
        <f>(P395-P392)+(R392-R395)</f>
        <v>0</v>
      </c>
      <c r="U394" s="78"/>
      <c r="V394" s="81"/>
      <c r="W394" s="81"/>
      <c r="X394" s="81"/>
      <c r="Y394" s="84"/>
      <c r="Z394" s="87"/>
      <c r="AA394" s="49"/>
      <c r="AB394" s="49"/>
      <c r="AC394" s="98"/>
      <c r="AD394" s="104"/>
      <c r="AE394" s="102"/>
    </row>
    <row r="395" spans="1:31" ht="17.100000000000001" customHeight="1" x14ac:dyDescent="0.25">
      <c r="A395" s="51"/>
      <c r="B395" s="54"/>
      <c r="C395" s="68"/>
      <c r="D395" s="69"/>
      <c r="E395" s="70"/>
      <c r="F395" s="68"/>
      <c r="G395" s="70"/>
      <c r="H395" s="59"/>
      <c r="I395" s="23"/>
      <c r="J395" s="88"/>
      <c r="K395" s="65"/>
      <c r="L395" s="18"/>
      <c r="M395" s="54"/>
      <c r="N395" s="90">
        <f>(P392-N392)+(P395-P392)+(R392-R395)</f>
        <v>0</v>
      </c>
      <c r="O395" s="91"/>
      <c r="P395" s="90"/>
      <c r="Q395" s="91"/>
      <c r="R395" s="90"/>
      <c r="S395" s="94"/>
      <c r="T395" s="32"/>
      <c r="U395" s="78"/>
      <c r="V395" s="81"/>
      <c r="W395" s="81"/>
      <c r="X395" s="81"/>
      <c r="Y395" s="84"/>
      <c r="Z395" s="34"/>
      <c r="AA395" s="28"/>
      <c r="AB395" s="28"/>
      <c r="AC395" s="97"/>
      <c r="AD395" s="100"/>
      <c r="AE395" s="102"/>
    </row>
    <row r="396" spans="1:31" ht="17.100000000000001" customHeight="1" x14ac:dyDescent="0.25">
      <c r="A396" s="51"/>
      <c r="B396" s="66"/>
      <c r="C396" s="68"/>
      <c r="D396" s="69"/>
      <c r="E396" s="70"/>
      <c r="F396" s="68"/>
      <c r="G396" s="70"/>
      <c r="H396" s="59"/>
      <c r="I396" s="24"/>
      <c r="J396" s="62"/>
      <c r="K396" s="71" t="s">
        <v>51</v>
      </c>
      <c r="L396" s="16" t="s">
        <v>51</v>
      </c>
      <c r="M396" s="66" t="s">
        <v>51</v>
      </c>
      <c r="N396" s="38"/>
      <c r="O396" s="45"/>
      <c r="P396" s="38"/>
      <c r="Q396" s="45"/>
      <c r="R396" s="38"/>
      <c r="S396" s="39"/>
      <c r="T396" s="31">
        <f t="shared" ref="T396" si="121">R395-P395</f>
        <v>0</v>
      </c>
      <c r="U396" s="78"/>
      <c r="V396" s="81"/>
      <c r="W396" s="81"/>
      <c r="X396" s="81"/>
      <c r="Y396" s="84"/>
      <c r="Z396" s="34"/>
      <c r="AA396" s="29"/>
      <c r="AB396" s="29"/>
      <c r="AC396" s="97"/>
      <c r="AD396" s="104"/>
      <c r="AE396" s="102"/>
    </row>
    <row r="397" spans="1:31" ht="17.100000000000001" customHeight="1" thickBot="1" x14ac:dyDescent="0.3">
      <c r="A397" s="52"/>
      <c r="B397" s="67"/>
      <c r="C397" s="73"/>
      <c r="D397" s="74"/>
      <c r="E397" s="75"/>
      <c r="F397" s="73"/>
      <c r="G397" s="75"/>
      <c r="H397" s="60"/>
      <c r="I397" s="25"/>
      <c r="J397" s="89"/>
      <c r="K397" s="72"/>
      <c r="L397" s="19" t="s">
        <v>52</v>
      </c>
      <c r="M397" s="67"/>
      <c r="N397" s="92"/>
      <c r="O397" s="93"/>
      <c r="P397" s="92"/>
      <c r="Q397" s="93"/>
      <c r="R397" s="92"/>
      <c r="S397" s="95"/>
      <c r="T397" s="33"/>
      <c r="U397" s="79"/>
      <c r="V397" s="82"/>
      <c r="W397" s="82"/>
      <c r="X397" s="82"/>
      <c r="Y397" s="85"/>
      <c r="Z397" s="35"/>
      <c r="AA397" s="30"/>
      <c r="AB397" s="30"/>
      <c r="AC397" s="105"/>
      <c r="AD397" s="106"/>
      <c r="AE397" s="103"/>
    </row>
    <row r="398" spans="1:31" ht="17.100000000000001" customHeight="1" x14ac:dyDescent="0.25">
      <c r="A398" s="50">
        <v>46023</v>
      </c>
      <c r="B398" s="53"/>
      <c r="C398" s="55"/>
      <c r="D398" s="56"/>
      <c r="E398" s="57"/>
      <c r="F398" s="55"/>
      <c r="G398" s="57"/>
      <c r="H398" s="58"/>
      <c r="I398" s="26"/>
      <c r="J398" s="61"/>
      <c r="K398" s="64"/>
      <c r="L398" s="11"/>
      <c r="M398" s="53"/>
      <c r="N398" s="42"/>
      <c r="O398" s="43"/>
      <c r="P398" s="36"/>
      <c r="Q398" s="43"/>
      <c r="R398" s="36"/>
      <c r="S398" s="37"/>
      <c r="T398" s="76">
        <f t="shared" ref="T398" si="122">R398-P398</f>
        <v>0</v>
      </c>
      <c r="U398" s="77"/>
      <c r="V398" s="80"/>
      <c r="W398" s="80"/>
      <c r="X398" s="80"/>
      <c r="Y398" s="83"/>
      <c r="Z398" s="86"/>
      <c r="AA398" s="48"/>
      <c r="AB398" s="48"/>
      <c r="AC398" s="96"/>
      <c r="AD398" s="99"/>
      <c r="AE398" s="101"/>
    </row>
    <row r="399" spans="1:31" ht="17.100000000000001" customHeight="1" x14ac:dyDescent="0.25">
      <c r="A399" s="51"/>
      <c r="B399" s="54"/>
      <c r="C399" s="68"/>
      <c r="D399" s="69"/>
      <c r="E399" s="70"/>
      <c r="F399" s="68"/>
      <c r="G399" s="70"/>
      <c r="H399" s="59"/>
      <c r="I399" s="24"/>
      <c r="J399" s="62"/>
      <c r="K399" s="65"/>
      <c r="L399" s="17"/>
      <c r="M399" s="54"/>
      <c r="N399" s="44"/>
      <c r="O399" s="45"/>
      <c r="P399" s="38"/>
      <c r="Q399" s="45"/>
      <c r="R399" s="38"/>
      <c r="S399" s="39"/>
      <c r="T399" s="32"/>
      <c r="U399" s="78"/>
      <c r="V399" s="81"/>
      <c r="W399" s="81"/>
      <c r="X399" s="81"/>
      <c r="Y399" s="84"/>
      <c r="Z399" s="34"/>
      <c r="AA399" s="29"/>
      <c r="AB399" s="29"/>
      <c r="AC399" s="97"/>
      <c r="AD399" s="100"/>
      <c r="AE399" s="102"/>
    </row>
    <row r="400" spans="1:31" ht="17.100000000000001" customHeight="1" x14ac:dyDescent="0.25">
      <c r="A400" s="51"/>
      <c r="B400" s="66"/>
      <c r="C400" s="68"/>
      <c r="D400" s="69"/>
      <c r="E400" s="70"/>
      <c r="F400" s="68"/>
      <c r="G400" s="70"/>
      <c r="H400" s="59"/>
      <c r="I400" s="27"/>
      <c r="J400" s="63"/>
      <c r="K400" s="71"/>
      <c r="L400" s="18"/>
      <c r="M400" s="66"/>
      <c r="N400" s="46"/>
      <c r="O400" s="47"/>
      <c r="P400" s="40"/>
      <c r="Q400" s="47"/>
      <c r="R400" s="40"/>
      <c r="S400" s="41"/>
      <c r="T400" s="31">
        <f>(P401-P398)+(R398-R401)</f>
        <v>0</v>
      </c>
      <c r="U400" s="78"/>
      <c r="V400" s="81"/>
      <c r="W400" s="81"/>
      <c r="X400" s="81"/>
      <c r="Y400" s="84"/>
      <c r="Z400" s="87"/>
      <c r="AA400" s="49"/>
      <c r="AB400" s="49"/>
      <c r="AC400" s="98"/>
      <c r="AD400" s="104"/>
      <c r="AE400" s="102"/>
    </row>
    <row r="401" spans="1:31" ht="17.100000000000001" customHeight="1" x14ac:dyDescent="0.25">
      <c r="A401" s="51"/>
      <c r="B401" s="54"/>
      <c r="C401" s="68"/>
      <c r="D401" s="69"/>
      <c r="E401" s="70"/>
      <c r="F401" s="68"/>
      <c r="G401" s="70"/>
      <c r="H401" s="59"/>
      <c r="I401" s="23"/>
      <c r="J401" s="88"/>
      <c r="K401" s="65"/>
      <c r="L401" s="18"/>
      <c r="M401" s="54"/>
      <c r="N401" s="90">
        <f>(P398-N398)+(P401-P398)+(R398-R401)</f>
        <v>0</v>
      </c>
      <c r="O401" s="91"/>
      <c r="P401" s="90"/>
      <c r="Q401" s="91"/>
      <c r="R401" s="90"/>
      <c r="S401" s="94"/>
      <c r="T401" s="32"/>
      <c r="U401" s="78"/>
      <c r="V401" s="81"/>
      <c r="W401" s="81"/>
      <c r="X401" s="81"/>
      <c r="Y401" s="84"/>
      <c r="Z401" s="34"/>
      <c r="AA401" s="28"/>
      <c r="AB401" s="28"/>
      <c r="AC401" s="97"/>
      <c r="AD401" s="100"/>
      <c r="AE401" s="102"/>
    </row>
    <row r="402" spans="1:31" ht="17.100000000000001" customHeight="1" x14ac:dyDescent="0.25">
      <c r="A402" s="51"/>
      <c r="B402" s="66"/>
      <c r="C402" s="68"/>
      <c r="D402" s="69"/>
      <c r="E402" s="70"/>
      <c r="F402" s="68"/>
      <c r="G402" s="70"/>
      <c r="H402" s="59"/>
      <c r="I402" s="24"/>
      <c r="J402" s="62"/>
      <c r="K402" s="71" t="s">
        <v>51</v>
      </c>
      <c r="L402" s="16" t="s">
        <v>51</v>
      </c>
      <c r="M402" s="66" t="s">
        <v>51</v>
      </c>
      <c r="N402" s="38"/>
      <c r="O402" s="45"/>
      <c r="P402" s="38"/>
      <c r="Q402" s="45"/>
      <c r="R402" s="38"/>
      <c r="S402" s="39"/>
      <c r="T402" s="31">
        <f t="shared" ref="T402" si="123">R401-P401</f>
        <v>0</v>
      </c>
      <c r="U402" s="78"/>
      <c r="V402" s="81"/>
      <c r="W402" s="81"/>
      <c r="X402" s="81"/>
      <c r="Y402" s="84"/>
      <c r="Z402" s="34"/>
      <c r="AA402" s="29"/>
      <c r="AB402" s="29"/>
      <c r="AC402" s="97"/>
      <c r="AD402" s="104"/>
      <c r="AE402" s="102"/>
    </row>
    <row r="403" spans="1:31" ht="17.100000000000001" customHeight="1" thickBot="1" x14ac:dyDescent="0.3">
      <c r="A403" s="52"/>
      <c r="B403" s="67"/>
      <c r="C403" s="73"/>
      <c r="D403" s="74"/>
      <c r="E403" s="75"/>
      <c r="F403" s="73"/>
      <c r="G403" s="75"/>
      <c r="H403" s="60"/>
      <c r="I403" s="25"/>
      <c r="J403" s="89"/>
      <c r="K403" s="72"/>
      <c r="L403" s="19" t="s">
        <v>52</v>
      </c>
      <c r="M403" s="67"/>
      <c r="N403" s="92"/>
      <c r="O403" s="93"/>
      <c r="P403" s="92"/>
      <c r="Q403" s="93"/>
      <c r="R403" s="92"/>
      <c r="S403" s="95"/>
      <c r="T403" s="33"/>
      <c r="U403" s="79"/>
      <c r="V403" s="82"/>
      <c r="W403" s="82"/>
      <c r="X403" s="82"/>
      <c r="Y403" s="85"/>
      <c r="Z403" s="35"/>
      <c r="AA403" s="30"/>
      <c r="AB403" s="30"/>
      <c r="AC403" s="105"/>
      <c r="AD403" s="106"/>
      <c r="AE403" s="103"/>
    </row>
    <row r="404" spans="1:31" ht="17.100000000000001" customHeight="1" x14ac:dyDescent="0.25">
      <c r="A404" s="50">
        <v>46023</v>
      </c>
      <c r="B404" s="53"/>
      <c r="C404" s="55"/>
      <c r="D404" s="56"/>
      <c r="E404" s="57"/>
      <c r="F404" s="55"/>
      <c r="G404" s="57"/>
      <c r="H404" s="58"/>
      <c r="I404" s="26"/>
      <c r="J404" s="61"/>
      <c r="K404" s="64"/>
      <c r="L404" s="11"/>
      <c r="M404" s="53"/>
      <c r="N404" s="42"/>
      <c r="O404" s="43"/>
      <c r="P404" s="36"/>
      <c r="Q404" s="43"/>
      <c r="R404" s="36"/>
      <c r="S404" s="37"/>
      <c r="T404" s="76">
        <f t="shared" ref="T404" si="124">R404-P404</f>
        <v>0</v>
      </c>
      <c r="U404" s="77"/>
      <c r="V404" s="80"/>
      <c r="W404" s="80"/>
      <c r="X404" s="80"/>
      <c r="Y404" s="83"/>
      <c r="Z404" s="86"/>
      <c r="AA404" s="48"/>
      <c r="AB404" s="48"/>
      <c r="AC404" s="96"/>
      <c r="AD404" s="99"/>
      <c r="AE404" s="101"/>
    </row>
    <row r="405" spans="1:31" ht="17.100000000000001" customHeight="1" x14ac:dyDescent="0.25">
      <c r="A405" s="51"/>
      <c r="B405" s="54"/>
      <c r="C405" s="68"/>
      <c r="D405" s="69"/>
      <c r="E405" s="70"/>
      <c r="F405" s="68"/>
      <c r="G405" s="70"/>
      <c r="H405" s="59"/>
      <c r="I405" s="24"/>
      <c r="J405" s="62"/>
      <c r="K405" s="65"/>
      <c r="L405" s="17"/>
      <c r="M405" s="54"/>
      <c r="N405" s="44"/>
      <c r="O405" s="45"/>
      <c r="P405" s="38"/>
      <c r="Q405" s="45"/>
      <c r="R405" s="38"/>
      <c r="S405" s="39"/>
      <c r="T405" s="32"/>
      <c r="U405" s="78"/>
      <c r="V405" s="81"/>
      <c r="W405" s="81"/>
      <c r="X405" s="81"/>
      <c r="Y405" s="84"/>
      <c r="Z405" s="34"/>
      <c r="AA405" s="29"/>
      <c r="AB405" s="29"/>
      <c r="AC405" s="97"/>
      <c r="AD405" s="100"/>
      <c r="AE405" s="102"/>
    </row>
    <row r="406" spans="1:31" ht="17.100000000000001" customHeight="1" x14ac:dyDescent="0.25">
      <c r="A406" s="51"/>
      <c r="B406" s="66"/>
      <c r="C406" s="68"/>
      <c r="D406" s="69"/>
      <c r="E406" s="70"/>
      <c r="F406" s="68"/>
      <c r="G406" s="70"/>
      <c r="H406" s="59"/>
      <c r="I406" s="27"/>
      <c r="J406" s="63"/>
      <c r="K406" s="71"/>
      <c r="L406" s="18"/>
      <c r="M406" s="66"/>
      <c r="N406" s="46"/>
      <c r="O406" s="47"/>
      <c r="P406" s="40"/>
      <c r="Q406" s="47"/>
      <c r="R406" s="40"/>
      <c r="S406" s="41"/>
      <c r="T406" s="31">
        <f>(P407-P404)+(R404-R407)</f>
        <v>0</v>
      </c>
      <c r="U406" s="78"/>
      <c r="V406" s="81"/>
      <c r="W406" s="81"/>
      <c r="X406" s="81"/>
      <c r="Y406" s="84"/>
      <c r="Z406" s="87"/>
      <c r="AA406" s="49"/>
      <c r="AB406" s="49"/>
      <c r="AC406" s="98"/>
      <c r="AD406" s="104"/>
      <c r="AE406" s="102"/>
    </row>
    <row r="407" spans="1:31" ht="17.100000000000001" customHeight="1" x14ac:dyDescent="0.25">
      <c r="A407" s="51"/>
      <c r="B407" s="54"/>
      <c r="C407" s="68"/>
      <c r="D407" s="69"/>
      <c r="E407" s="70"/>
      <c r="F407" s="68"/>
      <c r="G407" s="70"/>
      <c r="H407" s="59"/>
      <c r="I407" s="23"/>
      <c r="J407" s="88"/>
      <c r="K407" s="65"/>
      <c r="L407" s="18"/>
      <c r="M407" s="54"/>
      <c r="N407" s="90">
        <f>(P404-N404)+(P407-P404)+(R404-R407)</f>
        <v>0</v>
      </c>
      <c r="O407" s="91"/>
      <c r="P407" s="90"/>
      <c r="Q407" s="91"/>
      <c r="R407" s="90"/>
      <c r="S407" s="94"/>
      <c r="T407" s="32"/>
      <c r="U407" s="78"/>
      <c r="V407" s="81"/>
      <c r="W407" s="81"/>
      <c r="X407" s="81"/>
      <c r="Y407" s="84"/>
      <c r="Z407" s="34"/>
      <c r="AA407" s="28"/>
      <c r="AB407" s="28"/>
      <c r="AC407" s="97"/>
      <c r="AD407" s="100"/>
      <c r="AE407" s="102"/>
    </row>
    <row r="408" spans="1:31" ht="17.100000000000001" customHeight="1" x14ac:dyDescent="0.25">
      <c r="A408" s="51"/>
      <c r="B408" s="66"/>
      <c r="C408" s="68"/>
      <c r="D408" s="69"/>
      <c r="E408" s="70"/>
      <c r="F408" s="68"/>
      <c r="G408" s="70"/>
      <c r="H408" s="59"/>
      <c r="I408" s="24"/>
      <c r="J408" s="62"/>
      <c r="K408" s="71" t="s">
        <v>51</v>
      </c>
      <c r="L408" s="16" t="s">
        <v>51</v>
      </c>
      <c r="M408" s="66" t="s">
        <v>51</v>
      </c>
      <c r="N408" s="38"/>
      <c r="O408" s="45"/>
      <c r="P408" s="38"/>
      <c r="Q408" s="45"/>
      <c r="R408" s="38"/>
      <c r="S408" s="39"/>
      <c r="T408" s="31">
        <f t="shared" ref="T408" si="125">R407-P407</f>
        <v>0</v>
      </c>
      <c r="U408" s="78"/>
      <c r="V408" s="81"/>
      <c r="W408" s="81"/>
      <c r="X408" s="81"/>
      <c r="Y408" s="84"/>
      <c r="Z408" s="34"/>
      <c r="AA408" s="29"/>
      <c r="AB408" s="29"/>
      <c r="AC408" s="97"/>
      <c r="AD408" s="104"/>
      <c r="AE408" s="102"/>
    </row>
    <row r="409" spans="1:31" ht="17.100000000000001" customHeight="1" thickBot="1" x14ac:dyDescent="0.3">
      <c r="A409" s="52"/>
      <c r="B409" s="67"/>
      <c r="C409" s="73"/>
      <c r="D409" s="74"/>
      <c r="E409" s="75"/>
      <c r="F409" s="73"/>
      <c r="G409" s="75"/>
      <c r="H409" s="60"/>
      <c r="I409" s="25"/>
      <c r="J409" s="89"/>
      <c r="K409" s="72"/>
      <c r="L409" s="19" t="s">
        <v>52</v>
      </c>
      <c r="M409" s="67"/>
      <c r="N409" s="92"/>
      <c r="O409" s="93"/>
      <c r="P409" s="92"/>
      <c r="Q409" s="93"/>
      <c r="R409" s="92"/>
      <c r="S409" s="95"/>
      <c r="T409" s="33"/>
      <c r="U409" s="79"/>
      <c r="V409" s="82"/>
      <c r="W409" s="82"/>
      <c r="X409" s="82"/>
      <c r="Y409" s="85"/>
      <c r="Z409" s="35"/>
      <c r="AA409" s="30"/>
      <c r="AB409" s="30"/>
      <c r="AC409" s="105"/>
      <c r="AD409" s="106"/>
      <c r="AE409" s="103"/>
    </row>
    <row r="410" spans="1:31" ht="17.100000000000001" customHeight="1" x14ac:dyDescent="0.25">
      <c r="A410" s="50">
        <v>46023</v>
      </c>
      <c r="B410" s="53"/>
      <c r="C410" s="55"/>
      <c r="D410" s="56"/>
      <c r="E410" s="57"/>
      <c r="F410" s="55"/>
      <c r="G410" s="57"/>
      <c r="H410" s="58"/>
      <c r="I410" s="26"/>
      <c r="J410" s="61"/>
      <c r="K410" s="64"/>
      <c r="L410" s="11"/>
      <c r="M410" s="53"/>
      <c r="N410" s="42"/>
      <c r="O410" s="43"/>
      <c r="P410" s="36"/>
      <c r="Q410" s="43"/>
      <c r="R410" s="36"/>
      <c r="S410" s="37"/>
      <c r="T410" s="76">
        <f t="shared" ref="T410" si="126">R410-P410</f>
        <v>0</v>
      </c>
      <c r="U410" s="77"/>
      <c r="V410" s="80"/>
      <c r="W410" s="80"/>
      <c r="X410" s="80"/>
      <c r="Y410" s="83"/>
      <c r="Z410" s="86"/>
      <c r="AA410" s="48"/>
      <c r="AB410" s="48"/>
      <c r="AC410" s="96"/>
      <c r="AD410" s="99"/>
      <c r="AE410" s="101"/>
    </row>
    <row r="411" spans="1:31" ht="17.100000000000001" customHeight="1" x14ac:dyDescent="0.25">
      <c r="A411" s="51"/>
      <c r="B411" s="54"/>
      <c r="C411" s="68"/>
      <c r="D411" s="69"/>
      <c r="E411" s="70"/>
      <c r="F411" s="68"/>
      <c r="G411" s="70"/>
      <c r="H411" s="59"/>
      <c r="I411" s="24"/>
      <c r="J411" s="62"/>
      <c r="K411" s="65"/>
      <c r="L411" s="17"/>
      <c r="M411" s="54"/>
      <c r="N411" s="44"/>
      <c r="O411" s="45"/>
      <c r="P411" s="38"/>
      <c r="Q411" s="45"/>
      <c r="R411" s="38"/>
      <c r="S411" s="39"/>
      <c r="T411" s="32"/>
      <c r="U411" s="78"/>
      <c r="V411" s="81"/>
      <c r="W411" s="81"/>
      <c r="X411" s="81"/>
      <c r="Y411" s="84"/>
      <c r="Z411" s="34"/>
      <c r="AA411" s="29"/>
      <c r="AB411" s="29"/>
      <c r="AC411" s="97"/>
      <c r="AD411" s="100"/>
      <c r="AE411" s="102"/>
    </row>
    <row r="412" spans="1:31" ht="17.100000000000001" customHeight="1" x14ac:dyDescent="0.25">
      <c r="A412" s="51"/>
      <c r="B412" s="66"/>
      <c r="C412" s="68"/>
      <c r="D412" s="69"/>
      <c r="E412" s="70"/>
      <c r="F412" s="68"/>
      <c r="G412" s="70"/>
      <c r="H412" s="59"/>
      <c r="I412" s="27"/>
      <c r="J412" s="63"/>
      <c r="K412" s="71"/>
      <c r="L412" s="18"/>
      <c r="M412" s="66"/>
      <c r="N412" s="46"/>
      <c r="O412" s="47"/>
      <c r="P412" s="40"/>
      <c r="Q412" s="47"/>
      <c r="R412" s="40"/>
      <c r="S412" s="41"/>
      <c r="T412" s="31">
        <f>(P413-P410)+(R410-R413)</f>
        <v>0</v>
      </c>
      <c r="U412" s="78"/>
      <c r="V412" s="81"/>
      <c r="W412" s="81"/>
      <c r="X412" s="81"/>
      <c r="Y412" s="84"/>
      <c r="Z412" s="87"/>
      <c r="AA412" s="49"/>
      <c r="AB412" s="49"/>
      <c r="AC412" s="98"/>
      <c r="AD412" s="104"/>
      <c r="AE412" s="102"/>
    </row>
    <row r="413" spans="1:31" ht="17.100000000000001" customHeight="1" x14ac:dyDescent="0.25">
      <c r="A413" s="51"/>
      <c r="B413" s="54"/>
      <c r="C413" s="68"/>
      <c r="D413" s="69"/>
      <c r="E413" s="70"/>
      <c r="F413" s="68"/>
      <c r="G413" s="70"/>
      <c r="H413" s="59"/>
      <c r="I413" s="23"/>
      <c r="J413" s="88"/>
      <c r="K413" s="65"/>
      <c r="L413" s="18"/>
      <c r="M413" s="54"/>
      <c r="N413" s="90">
        <f>(P410-N410)+(P413-P410)+(R410-R413)</f>
        <v>0</v>
      </c>
      <c r="O413" s="91"/>
      <c r="P413" s="90"/>
      <c r="Q413" s="91"/>
      <c r="R413" s="90"/>
      <c r="S413" s="94"/>
      <c r="T413" s="32"/>
      <c r="U413" s="78"/>
      <c r="V413" s="81"/>
      <c r="W413" s="81"/>
      <c r="X413" s="81"/>
      <c r="Y413" s="84"/>
      <c r="Z413" s="34"/>
      <c r="AA413" s="28"/>
      <c r="AB413" s="28"/>
      <c r="AC413" s="97"/>
      <c r="AD413" s="100"/>
      <c r="AE413" s="102"/>
    </row>
    <row r="414" spans="1:31" ht="17.100000000000001" customHeight="1" x14ac:dyDescent="0.25">
      <c r="A414" s="51"/>
      <c r="B414" s="66"/>
      <c r="C414" s="68"/>
      <c r="D414" s="69"/>
      <c r="E414" s="70"/>
      <c r="F414" s="68"/>
      <c r="G414" s="70"/>
      <c r="H414" s="59"/>
      <c r="I414" s="24"/>
      <c r="J414" s="62"/>
      <c r="K414" s="71" t="s">
        <v>51</v>
      </c>
      <c r="L414" s="16" t="s">
        <v>51</v>
      </c>
      <c r="M414" s="66" t="s">
        <v>51</v>
      </c>
      <c r="N414" s="38"/>
      <c r="O414" s="45"/>
      <c r="P414" s="38"/>
      <c r="Q414" s="45"/>
      <c r="R414" s="38"/>
      <c r="S414" s="39"/>
      <c r="T414" s="31">
        <f t="shared" ref="T414" si="127">R413-P413</f>
        <v>0</v>
      </c>
      <c r="U414" s="78"/>
      <c r="V414" s="81"/>
      <c r="W414" s="81"/>
      <c r="X414" s="81"/>
      <c r="Y414" s="84"/>
      <c r="Z414" s="34"/>
      <c r="AA414" s="29"/>
      <c r="AB414" s="29"/>
      <c r="AC414" s="97"/>
      <c r="AD414" s="104"/>
      <c r="AE414" s="102"/>
    </row>
    <row r="415" spans="1:31" ht="17.100000000000001" customHeight="1" thickBot="1" x14ac:dyDescent="0.3">
      <c r="A415" s="52"/>
      <c r="B415" s="67"/>
      <c r="C415" s="73"/>
      <c r="D415" s="74"/>
      <c r="E415" s="75"/>
      <c r="F415" s="73"/>
      <c r="G415" s="75"/>
      <c r="H415" s="60"/>
      <c r="I415" s="25"/>
      <c r="J415" s="89"/>
      <c r="K415" s="72"/>
      <c r="L415" s="19" t="s">
        <v>52</v>
      </c>
      <c r="M415" s="67"/>
      <c r="N415" s="92"/>
      <c r="O415" s="93"/>
      <c r="P415" s="92"/>
      <c r="Q415" s="93"/>
      <c r="R415" s="92"/>
      <c r="S415" s="95"/>
      <c r="T415" s="33"/>
      <c r="U415" s="79"/>
      <c r="V415" s="82"/>
      <c r="W415" s="82"/>
      <c r="X415" s="82"/>
      <c r="Y415" s="85"/>
      <c r="Z415" s="35"/>
      <c r="AA415" s="30"/>
      <c r="AB415" s="30"/>
      <c r="AC415" s="105"/>
      <c r="AD415" s="106"/>
      <c r="AE415" s="103"/>
    </row>
    <row r="417" spans="1:31" ht="17.100000000000001" customHeight="1" thickBot="1" x14ac:dyDescent="0.3"/>
    <row r="418" spans="1:31" ht="17.100000000000001" customHeight="1" x14ac:dyDescent="0.25">
      <c r="A418" s="50">
        <v>46023</v>
      </c>
      <c r="B418" s="53"/>
      <c r="C418" s="55"/>
      <c r="D418" s="56"/>
      <c r="E418" s="57"/>
      <c r="F418" s="55"/>
      <c r="G418" s="57"/>
      <c r="H418" s="58"/>
      <c r="I418" s="26"/>
      <c r="J418" s="61"/>
      <c r="K418" s="64"/>
      <c r="L418" s="11"/>
      <c r="M418" s="53"/>
      <c r="N418" s="42"/>
      <c r="O418" s="43"/>
      <c r="P418" s="36"/>
      <c r="Q418" s="43"/>
      <c r="R418" s="36"/>
      <c r="S418" s="37"/>
      <c r="T418" s="76">
        <f t="shared" ref="T418" si="128">R418-P418</f>
        <v>0</v>
      </c>
      <c r="U418" s="77"/>
      <c r="V418" s="80"/>
      <c r="W418" s="80"/>
      <c r="X418" s="80"/>
      <c r="Y418" s="83"/>
      <c r="Z418" s="86"/>
      <c r="AA418" s="48"/>
      <c r="AB418" s="48"/>
      <c r="AC418" s="96"/>
      <c r="AD418" s="99"/>
      <c r="AE418" s="101"/>
    </row>
    <row r="419" spans="1:31" ht="17.100000000000001" customHeight="1" x14ac:dyDescent="0.25">
      <c r="A419" s="51"/>
      <c r="B419" s="54"/>
      <c r="C419" s="68"/>
      <c r="D419" s="69"/>
      <c r="E419" s="70"/>
      <c r="F419" s="68"/>
      <c r="G419" s="70"/>
      <c r="H419" s="59"/>
      <c r="I419" s="24"/>
      <c r="J419" s="62"/>
      <c r="K419" s="65"/>
      <c r="L419" s="17"/>
      <c r="M419" s="54"/>
      <c r="N419" s="44"/>
      <c r="O419" s="45"/>
      <c r="P419" s="38"/>
      <c r="Q419" s="45"/>
      <c r="R419" s="38"/>
      <c r="S419" s="39"/>
      <c r="T419" s="32"/>
      <c r="U419" s="78"/>
      <c r="V419" s="81"/>
      <c r="W419" s="81"/>
      <c r="X419" s="81"/>
      <c r="Y419" s="84"/>
      <c r="Z419" s="34"/>
      <c r="AA419" s="29"/>
      <c r="AB419" s="29"/>
      <c r="AC419" s="97"/>
      <c r="AD419" s="100"/>
      <c r="AE419" s="102"/>
    </row>
    <row r="420" spans="1:31" ht="17.100000000000001" customHeight="1" x14ac:dyDescent="0.25">
      <c r="A420" s="51"/>
      <c r="B420" s="66"/>
      <c r="C420" s="68"/>
      <c r="D420" s="69"/>
      <c r="E420" s="70"/>
      <c r="F420" s="68"/>
      <c r="G420" s="70"/>
      <c r="H420" s="59"/>
      <c r="I420" s="27"/>
      <c r="J420" s="63"/>
      <c r="K420" s="71"/>
      <c r="L420" s="18"/>
      <c r="M420" s="66"/>
      <c r="N420" s="46"/>
      <c r="O420" s="47"/>
      <c r="P420" s="40"/>
      <c r="Q420" s="47"/>
      <c r="R420" s="40"/>
      <c r="S420" s="41"/>
      <c r="T420" s="31">
        <f>(P421-P418)+(R418-R421)</f>
        <v>0</v>
      </c>
      <c r="U420" s="78"/>
      <c r="V420" s="81"/>
      <c r="W420" s="81"/>
      <c r="X420" s="81"/>
      <c r="Y420" s="84"/>
      <c r="Z420" s="87"/>
      <c r="AA420" s="49"/>
      <c r="AB420" s="49"/>
      <c r="AC420" s="98"/>
      <c r="AD420" s="104"/>
      <c r="AE420" s="102"/>
    </row>
    <row r="421" spans="1:31" ht="17.100000000000001" customHeight="1" x14ac:dyDescent="0.25">
      <c r="A421" s="51"/>
      <c r="B421" s="54"/>
      <c r="C421" s="68"/>
      <c r="D421" s="69"/>
      <c r="E421" s="70"/>
      <c r="F421" s="68"/>
      <c r="G421" s="70"/>
      <c r="H421" s="59"/>
      <c r="I421" s="23"/>
      <c r="J421" s="88"/>
      <c r="K421" s="65"/>
      <c r="L421" s="18"/>
      <c r="M421" s="54"/>
      <c r="N421" s="90">
        <f>(P418-N418)+(P421-P418)+(R418-R421)</f>
        <v>0</v>
      </c>
      <c r="O421" s="91"/>
      <c r="P421" s="90"/>
      <c r="Q421" s="91"/>
      <c r="R421" s="90"/>
      <c r="S421" s="94"/>
      <c r="T421" s="32"/>
      <c r="U421" s="78"/>
      <c r="V421" s="81"/>
      <c r="W421" s="81"/>
      <c r="X421" s="81"/>
      <c r="Y421" s="84"/>
      <c r="Z421" s="34"/>
      <c r="AA421" s="28"/>
      <c r="AB421" s="28"/>
      <c r="AC421" s="97"/>
      <c r="AD421" s="100"/>
      <c r="AE421" s="102"/>
    </row>
    <row r="422" spans="1:31" ht="17.100000000000001" customHeight="1" x14ac:dyDescent="0.25">
      <c r="A422" s="51"/>
      <c r="B422" s="66"/>
      <c r="C422" s="68"/>
      <c r="D422" s="69"/>
      <c r="E422" s="70"/>
      <c r="F422" s="68"/>
      <c r="G422" s="70"/>
      <c r="H422" s="59"/>
      <c r="I422" s="24"/>
      <c r="J422" s="62"/>
      <c r="K422" s="71" t="s">
        <v>51</v>
      </c>
      <c r="L422" s="16" t="s">
        <v>51</v>
      </c>
      <c r="M422" s="66" t="s">
        <v>51</v>
      </c>
      <c r="N422" s="38"/>
      <c r="O422" s="45"/>
      <c r="P422" s="38"/>
      <c r="Q422" s="45"/>
      <c r="R422" s="38"/>
      <c r="S422" s="39"/>
      <c r="T422" s="31">
        <f t="shared" ref="T422" si="129">R421-P421</f>
        <v>0</v>
      </c>
      <c r="U422" s="78"/>
      <c r="V422" s="81"/>
      <c r="W422" s="81"/>
      <c r="X422" s="81"/>
      <c r="Y422" s="84"/>
      <c r="Z422" s="34"/>
      <c r="AA422" s="29"/>
      <c r="AB422" s="29"/>
      <c r="AC422" s="97"/>
      <c r="AD422" s="104"/>
      <c r="AE422" s="102"/>
    </row>
    <row r="423" spans="1:31" ht="17.100000000000001" customHeight="1" thickBot="1" x14ac:dyDescent="0.3">
      <c r="A423" s="52"/>
      <c r="B423" s="67"/>
      <c r="C423" s="73"/>
      <c r="D423" s="74"/>
      <c r="E423" s="75"/>
      <c r="F423" s="73"/>
      <c r="G423" s="75"/>
      <c r="H423" s="60"/>
      <c r="I423" s="25"/>
      <c r="J423" s="89"/>
      <c r="K423" s="72"/>
      <c r="L423" s="19" t="s">
        <v>52</v>
      </c>
      <c r="M423" s="67"/>
      <c r="N423" s="92"/>
      <c r="O423" s="93"/>
      <c r="P423" s="92"/>
      <c r="Q423" s="93"/>
      <c r="R423" s="92"/>
      <c r="S423" s="95"/>
      <c r="T423" s="33"/>
      <c r="U423" s="79"/>
      <c r="V423" s="82"/>
      <c r="W423" s="82"/>
      <c r="X423" s="82"/>
      <c r="Y423" s="85"/>
      <c r="Z423" s="35"/>
      <c r="AA423" s="30"/>
      <c r="AB423" s="30"/>
      <c r="AC423" s="105"/>
      <c r="AD423" s="106"/>
      <c r="AE423" s="103"/>
    </row>
    <row r="424" spans="1:31" ht="17.100000000000001" customHeight="1" x14ac:dyDescent="0.25">
      <c r="A424" s="50">
        <v>46023</v>
      </c>
      <c r="B424" s="53"/>
      <c r="C424" s="55"/>
      <c r="D424" s="56"/>
      <c r="E424" s="57"/>
      <c r="F424" s="55"/>
      <c r="G424" s="57"/>
      <c r="H424" s="58"/>
      <c r="I424" s="26"/>
      <c r="J424" s="61"/>
      <c r="K424" s="64"/>
      <c r="L424" s="11"/>
      <c r="M424" s="53"/>
      <c r="N424" s="42"/>
      <c r="O424" s="43"/>
      <c r="P424" s="36"/>
      <c r="Q424" s="43"/>
      <c r="R424" s="36"/>
      <c r="S424" s="37"/>
      <c r="T424" s="76">
        <f t="shared" ref="T424" si="130">R424-P424</f>
        <v>0</v>
      </c>
      <c r="U424" s="77"/>
      <c r="V424" s="80"/>
      <c r="W424" s="80"/>
      <c r="X424" s="80"/>
      <c r="Y424" s="83"/>
      <c r="Z424" s="86"/>
      <c r="AA424" s="48"/>
      <c r="AB424" s="48"/>
      <c r="AC424" s="96"/>
      <c r="AD424" s="99"/>
      <c r="AE424" s="101"/>
    </row>
    <row r="425" spans="1:31" ht="17.100000000000001" customHeight="1" x14ac:dyDescent="0.25">
      <c r="A425" s="51"/>
      <c r="B425" s="54"/>
      <c r="C425" s="68"/>
      <c r="D425" s="69"/>
      <c r="E425" s="70"/>
      <c r="F425" s="68"/>
      <c r="G425" s="70"/>
      <c r="H425" s="59"/>
      <c r="I425" s="24"/>
      <c r="J425" s="62"/>
      <c r="K425" s="65"/>
      <c r="L425" s="17"/>
      <c r="M425" s="54"/>
      <c r="N425" s="44"/>
      <c r="O425" s="45"/>
      <c r="P425" s="38"/>
      <c r="Q425" s="45"/>
      <c r="R425" s="38"/>
      <c r="S425" s="39"/>
      <c r="T425" s="32"/>
      <c r="U425" s="78"/>
      <c r="V425" s="81"/>
      <c r="W425" s="81"/>
      <c r="X425" s="81"/>
      <c r="Y425" s="84"/>
      <c r="Z425" s="34"/>
      <c r="AA425" s="29"/>
      <c r="AB425" s="29"/>
      <c r="AC425" s="97"/>
      <c r="AD425" s="100"/>
      <c r="AE425" s="102"/>
    </row>
    <row r="426" spans="1:31" ht="17.100000000000001" customHeight="1" x14ac:dyDescent="0.25">
      <c r="A426" s="51"/>
      <c r="B426" s="66"/>
      <c r="C426" s="68"/>
      <c r="D426" s="69"/>
      <c r="E426" s="70"/>
      <c r="F426" s="68"/>
      <c r="G426" s="70"/>
      <c r="H426" s="59"/>
      <c r="I426" s="27"/>
      <c r="J426" s="63"/>
      <c r="K426" s="71"/>
      <c r="L426" s="18"/>
      <c r="M426" s="66"/>
      <c r="N426" s="46"/>
      <c r="O426" s="47"/>
      <c r="P426" s="40"/>
      <c r="Q426" s="47"/>
      <c r="R426" s="40"/>
      <c r="S426" s="41"/>
      <c r="T426" s="31">
        <f>(P427-P424)+(R424-R427)</f>
        <v>0</v>
      </c>
      <c r="U426" s="78"/>
      <c r="V426" s="81"/>
      <c r="W426" s="81"/>
      <c r="X426" s="81"/>
      <c r="Y426" s="84"/>
      <c r="Z426" s="87"/>
      <c r="AA426" s="49"/>
      <c r="AB426" s="49"/>
      <c r="AC426" s="98"/>
      <c r="AD426" s="104"/>
      <c r="AE426" s="102"/>
    </row>
    <row r="427" spans="1:31" ht="17.100000000000001" customHeight="1" x14ac:dyDescent="0.25">
      <c r="A427" s="51"/>
      <c r="B427" s="54"/>
      <c r="C427" s="68"/>
      <c r="D427" s="69"/>
      <c r="E427" s="70"/>
      <c r="F427" s="68"/>
      <c r="G427" s="70"/>
      <c r="H427" s="59"/>
      <c r="I427" s="23"/>
      <c r="J427" s="88"/>
      <c r="K427" s="65"/>
      <c r="L427" s="18"/>
      <c r="M427" s="54"/>
      <c r="N427" s="90">
        <f>(P424-N424)+(P427-P424)+(R424-R427)</f>
        <v>0</v>
      </c>
      <c r="O427" s="91"/>
      <c r="P427" s="90"/>
      <c r="Q427" s="91"/>
      <c r="R427" s="90"/>
      <c r="S427" s="94"/>
      <c r="T427" s="32"/>
      <c r="U427" s="78"/>
      <c r="V427" s="81"/>
      <c r="W427" s="81"/>
      <c r="X427" s="81"/>
      <c r="Y427" s="84"/>
      <c r="Z427" s="34"/>
      <c r="AA427" s="28"/>
      <c r="AB427" s="28"/>
      <c r="AC427" s="97"/>
      <c r="AD427" s="100"/>
      <c r="AE427" s="102"/>
    </row>
    <row r="428" spans="1:31" ht="17.100000000000001" customHeight="1" x14ac:dyDescent="0.25">
      <c r="A428" s="51"/>
      <c r="B428" s="66"/>
      <c r="C428" s="68"/>
      <c r="D428" s="69"/>
      <c r="E428" s="70"/>
      <c r="F428" s="68"/>
      <c r="G428" s="70"/>
      <c r="H428" s="59"/>
      <c r="I428" s="24"/>
      <c r="J428" s="62"/>
      <c r="K428" s="71" t="s">
        <v>51</v>
      </c>
      <c r="L428" s="16" t="s">
        <v>51</v>
      </c>
      <c r="M428" s="66" t="s">
        <v>51</v>
      </c>
      <c r="N428" s="38"/>
      <c r="O428" s="45"/>
      <c r="P428" s="38"/>
      <c r="Q428" s="45"/>
      <c r="R428" s="38"/>
      <c r="S428" s="39"/>
      <c r="T428" s="31">
        <f t="shared" ref="T428" si="131">R427-P427</f>
        <v>0</v>
      </c>
      <c r="U428" s="78"/>
      <c r="V428" s="81"/>
      <c r="W428" s="81"/>
      <c r="X428" s="81"/>
      <c r="Y428" s="84"/>
      <c r="Z428" s="34"/>
      <c r="AA428" s="29"/>
      <c r="AB428" s="29"/>
      <c r="AC428" s="97"/>
      <c r="AD428" s="104"/>
      <c r="AE428" s="102"/>
    </row>
    <row r="429" spans="1:31" ht="17.100000000000001" customHeight="1" thickBot="1" x14ac:dyDescent="0.3">
      <c r="A429" s="52"/>
      <c r="B429" s="67"/>
      <c r="C429" s="73"/>
      <c r="D429" s="74"/>
      <c r="E429" s="75"/>
      <c r="F429" s="73"/>
      <c r="G429" s="75"/>
      <c r="H429" s="60"/>
      <c r="I429" s="25"/>
      <c r="J429" s="89"/>
      <c r="K429" s="72"/>
      <c r="L429" s="19" t="s">
        <v>52</v>
      </c>
      <c r="M429" s="67"/>
      <c r="N429" s="92"/>
      <c r="O429" s="93"/>
      <c r="P429" s="92"/>
      <c r="Q429" s="93"/>
      <c r="R429" s="92"/>
      <c r="S429" s="95"/>
      <c r="T429" s="33"/>
      <c r="U429" s="79"/>
      <c r="V429" s="82"/>
      <c r="W429" s="82"/>
      <c r="X429" s="82"/>
      <c r="Y429" s="85"/>
      <c r="Z429" s="35"/>
      <c r="AA429" s="30"/>
      <c r="AB429" s="30"/>
      <c r="AC429" s="105"/>
      <c r="AD429" s="106"/>
      <c r="AE429" s="103"/>
    </row>
    <row r="430" spans="1:31" ht="17.100000000000001" customHeight="1" x14ac:dyDescent="0.25">
      <c r="A430" s="50">
        <v>46023</v>
      </c>
      <c r="B430" s="53"/>
      <c r="C430" s="55"/>
      <c r="D430" s="56"/>
      <c r="E430" s="57"/>
      <c r="F430" s="55"/>
      <c r="G430" s="57"/>
      <c r="H430" s="58"/>
      <c r="I430" s="26"/>
      <c r="J430" s="61"/>
      <c r="K430" s="64"/>
      <c r="L430" s="11"/>
      <c r="M430" s="53"/>
      <c r="N430" s="42"/>
      <c r="O430" s="43"/>
      <c r="P430" s="36"/>
      <c r="Q430" s="43"/>
      <c r="R430" s="36"/>
      <c r="S430" s="37"/>
      <c r="T430" s="76">
        <f t="shared" ref="T430" si="132">R430-P430</f>
        <v>0</v>
      </c>
      <c r="U430" s="77"/>
      <c r="V430" s="80"/>
      <c r="W430" s="80"/>
      <c r="X430" s="80"/>
      <c r="Y430" s="83"/>
      <c r="Z430" s="86"/>
      <c r="AA430" s="48"/>
      <c r="AB430" s="48"/>
      <c r="AC430" s="96"/>
      <c r="AD430" s="99"/>
      <c r="AE430" s="101"/>
    </row>
    <row r="431" spans="1:31" ht="17.100000000000001" customHeight="1" x14ac:dyDescent="0.25">
      <c r="A431" s="51"/>
      <c r="B431" s="54"/>
      <c r="C431" s="68"/>
      <c r="D431" s="69"/>
      <c r="E431" s="70"/>
      <c r="F431" s="68"/>
      <c r="G431" s="70"/>
      <c r="H431" s="59"/>
      <c r="I431" s="24"/>
      <c r="J431" s="62"/>
      <c r="K431" s="65"/>
      <c r="L431" s="17"/>
      <c r="M431" s="54"/>
      <c r="N431" s="44"/>
      <c r="O431" s="45"/>
      <c r="P431" s="38"/>
      <c r="Q431" s="45"/>
      <c r="R431" s="38"/>
      <c r="S431" s="39"/>
      <c r="T431" s="32"/>
      <c r="U431" s="78"/>
      <c r="V431" s="81"/>
      <c r="W431" s="81"/>
      <c r="X431" s="81"/>
      <c r="Y431" s="84"/>
      <c r="Z431" s="34"/>
      <c r="AA431" s="29"/>
      <c r="AB431" s="29"/>
      <c r="AC431" s="97"/>
      <c r="AD431" s="100"/>
      <c r="AE431" s="102"/>
    </row>
    <row r="432" spans="1:31" ht="17.100000000000001" customHeight="1" x14ac:dyDescent="0.25">
      <c r="A432" s="51"/>
      <c r="B432" s="66"/>
      <c r="C432" s="68"/>
      <c r="D432" s="69"/>
      <c r="E432" s="70"/>
      <c r="F432" s="68"/>
      <c r="G432" s="70"/>
      <c r="H432" s="59"/>
      <c r="I432" s="27"/>
      <c r="J432" s="63"/>
      <c r="K432" s="71"/>
      <c r="L432" s="18"/>
      <c r="M432" s="66"/>
      <c r="N432" s="46"/>
      <c r="O432" s="47"/>
      <c r="P432" s="40"/>
      <c r="Q432" s="47"/>
      <c r="R432" s="40"/>
      <c r="S432" s="41"/>
      <c r="T432" s="31">
        <f>(P433-P430)+(R430-R433)</f>
        <v>0</v>
      </c>
      <c r="U432" s="78"/>
      <c r="V432" s="81"/>
      <c r="W432" s="81"/>
      <c r="X432" s="81"/>
      <c r="Y432" s="84"/>
      <c r="Z432" s="87"/>
      <c r="AA432" s="49"/>
      <c r="AB432" s="49"/>
      <c r="AC432" s="98"/>
      <c r="AD432" s="104"/>
      <c r="AE432" s="102"/>
    </row>
    <row r="433" spans="1:31" ht="17.100000000000001" customHeight="1" x14ac:dyDescent="0.25">
      <c r="A433" s="51"/>
      <c r="B433" s="54"/>
      <c r="C433" s="68"/>
      <c r="D433" s="69"/>
      <c r="E433" s="70"/>
      <c r="F433" s="68"/>
      <c r="G433" s="70"/>
      <c r="H433" s="59"/>
      <c r="I433" s="23"/>
      <c r="J433" s="88"/>
      <c r="K433" s="65"/>
      <c r="L433" s="18"/>
      <c r="M433" s="54"/>
      <c r="N433" s="90">
        <f>(P430-N430)+(P433-P430)+(R430-R433)</f>
        <v>0</v>
      </c>
      <c r="O433" s="91"/>
      <c r="P433" s="90"/>
      <c r="Q433" s="91"/>
      <c r="R433" s="90"/>
      <c r="S433" s="94"/>
      <c r="T433" s="32"/>
      <c r="U433" s="78"/>
      <c r="V433" s="81"/>
      <c r="W433" s="81"/>
      <c r="X433" s="81"/>
      <c r="Y433" s="84"/>
      <c r="Z433" s="34"/>
      <c r="AA433" s="28"/>
      <c r="AB433" s="28"/>
      <c r="AC433" s="97"/>
      <c r="AD433" s="100"/>
      <c r="AE433" s="102"/>
    </row>
    <row r="434" spans="1:31" ht="17.100000000000001" customHeight="1" x14ac:dyDescent="0.25">
      <c r="A434" s="51"/>
      <c r="B434" s="66"/>
      <c r="C434" s="68"/>
      <c r="D434" s="69"/>
      <c r="E434" s="70"/>
      <c r="F434" s="68"/>
      <c r="G434" s="70"/>
      <c r="H434" s="59"/>
      <c r="I434" s="24"/>
      <c r="J434" s="62"/>
      <c r="K434" s="71" t="s">
        <v>51</v>
      </c>
      <c r="L434" s="16" t="s">
        <v>51</v>
      </c>
      <c r="M434" s="66" t="s">
        <v>51</v>
      </c>
      <c r="N434" s="38"/>
      <c r="O434" s="45"/>
      <c r="P434" s="38"/>
      <c r="Q434" s="45"/>
      <c r="R434" s="38"/>
      <c r="S434" s="39"/>
      <c r="T434" s="31">
        <f t="shared" ref="T434" si="133">R433-P433</f>
        <v>0</v>
      </c>
      <c r="U434" s="78"/>
      <c r="V434" s="81"/>
      <c r="W434" s="81"/>
      <c r="X434" s="81"/>
      <c r="Y434" s="84"/>
      <c r="Z434" s="34"/>
      <c r="AA434" s="29"/>
      <c r="AB434" s="29"/>
      <c r="AC434" s="97"/>
      <c r="AD434" s="104"/>
      <c r="AE434" s="102"/>
    </row>
    <row r="435" spans="1:31" ht="17.100000000000001" customHeight="1" thickBot="1" x14ac:dyDescent="0.3">
      <c r="A435" s="52"/>
      <c r="B435" s="67"/>
      <c r="C435" s="73"/>
      <c r="D435" s="74"/>
      <c r="E435" s="75"/>
      <c r="F435" s="73"/>
      <c r="G435" s="75"/>
      <c r="H435" s="60"/>
      <c r="I435" s="25"/>
      <c r="J435" s="89"/>
      <c r="K435" s="72"/>
      <c r="L435" s="19" t="s">
        <v>52</v>
      </c>
      <c r="M435" s="67"/>
      <c r="N435" s="92"/>
      <c r="O435" s="93"/>
      <c r="P435" s="92"/>
      <c r="Q435" s="93"/>
      <c r="R435" s="92"/>
      <c r="S435" s="95"/>
      <c r="T435" s="33"/>
      <c r="U435" s="79"/>
      <c r="V435" s="82"/>
      <c r="W435" s="82"/>
      <c r="X435" s="82"/>
      <c r="Y435" s="85"/>
      <c r="Z435" s="35"/>
      <c r="AA435" s="30"/>
      <c r="AB435" s="30"/>
      <c r="AC435" s="105"/>
      <c r="AD435" s="106"/>
      <c r="AE435" s="103"/>
    </row>
    <row r="436" spans="1:31" ht="17.100000000000001" customHeight="1" x14ac:dyDescent="0.25">
      <c r="A436" s="50">
        <v>46023</v>
      </c>
      <c r="B436" s="53"/>
      <c r="C436" s="55"/>
      <c r="D436" s="56"/>
      <c r="E436" s="57"/>
      <c r="F436" s="55"/>
      <c r="G436" s="57"/>
      <c r="H436" s="58"/>
      <c r="I436" s="26"/>
      <c r="J436" s="61"/>
      <c r="K436" s="64"/>
      <c r="L436" s="11"/>
      <c r="M436" s="53"/>
      <c r="N436" s="42"/>
      <c r="O436" s="43"/>
      <c r="P436" s="36"/>
      <c r="Q436" s="43"/>
      <c r="R436" s="36"/>
      <c r="S436" s="37"/>
      <c r="T436" s="76">
        <f t="shared" ref="T436" si="134">R436-P436</f>
        <v>0</v>
      </c>
      <c r="U436" s="77"/>
      <c r="V436" s="80"/>
      <c r="W436" s="80"/>
      <c r="X436" s="80"/>
      <c r="Y436" s="83"/>
      <c r="Z436" s="86"/>
      <c r="AA436" s="48"/>
      <c r="AB436" s="48"/>
      <c r="AC436" s="96"/>
      <c r="AD436" s="99"/>
      <c r="AE436" s="101"/>
    </row>
    <row r="437" spans="1:31" ht="17.100000000000001" customHeight="1" x14ac:dyDescent="0.25">
      <c r="A437" s="51"/>
      <c r="B437" s="54"/>
      <c r="C437" s="68"/>
      <c r="D437" s="69"/>
      <c r="E437" s="70"/>
      <c r="F437" s="68"/>
      <c r="G437" s="70"/>
      <c r="H437" s="59"/>
      <c r="I437" s="24"/>
      <c r="J437" s="62"/>
      <c r="K437" s="65"/>
      <c r="L437" s="17"/>
      <c r="M437" s="54"/>
      <c r="N437" s="44"/>
      <c r="O437" s="45"/>
      <c r="P437" s="38"/>
      <c r="Q437" s="45"/>
      <c r="R437" s="38"/>
      <c r="S437" s="39"/>
      <c r="T437" s="32"/>
      <c r="U437" s="78"/>
      <c r="V437" s="81"/>
      <c r="W437" s="81"/>
      <c r="X437" s="81"/>
      <c r="Y437" s="84"/>
      <c r="Z437" s="34"/>
      <c r="AA437" s="29"/>
      <c r="AB437" s="29"/>
      <c r="AC437" s="97"/>
      <c r="AD437" s="100"/>
      <c r="AE437" s="102"/>
    </row>
    <row r="438" spans="1:31" ht="17.100000000000001" customHeight="1" x14ac:dyDescent="0.25">
      <c r="A438" s="51"/>
      <c r="B438" s="66"/>
      <c r="C438" s="68"/>
      <c r="D438" s="69"/>
      <c r="E438" s="70"/>
      <c r="F438" s="68"/>
      <c r="G438" s="70"/>
      <c r="H438" s="59"/>
      <c r="I438" s="27"/>
      <c r="J438" s="63"/>
      <c r="K438" s="71"/>
      <c r="L438" s="18"/>
      <c r="M438" s="66"/>
      <c r="N438" s="46"/>
      <c r="O438" s="47"/>
      <c r="P438" s="40"/>
      <c r="Q438" s="47"/>
      <c r="R438" s="40"/>
      <c r="S438" s="41"/>
      <c r="T438" s="31">
        <f>(P439-P436)+(R436-R439)</f>
        <v>0</v>
      </c>
      <c r="U438" s="78"/>
      <c r="V438" s="81"/>
      <c r="W438" s="81"/>
      <c r="X438" s="81"/>
      <c r="Y438" s="84"/>
      <c r="Z438" s="87"/>
      <c r="AA438" s="49"/>
      <c r="AB438" s="49"/>
      <c r="AC438" s="98"/>
      <c r="AD438" s="104"/>
      <c r="AE438" s="102"/>
    </row>
    <row r="439" spans="1:31" ht="17.100000000000001" customHeight="1" x14ac:dyDescent="0.25">
      <c r="A439" s="51"/>
      <c r="B439" s="54"/>
      <c r="C439" s="68"/>
      <c r="D439" s="69"/>
      <c r="E439" s="70"/>
      <c r="F439" s="68"/>
      <c r="G439" s="70"/>
      <c r="H439" s="59"/>
      <c r="I439" s="23"/>
      <c r="J439" s="88"/>
      <c r="K439" s="65"/>
      <c r="L439" s="18"/>
      <c r="M439" s="54"/>
      <c r="N439" s="90">
        <f>(P436-N436)+(P439-P436)+(R436-R439)</f>
        <v>0</v>
      </c>
      <c r="O439" s="91"/>
      <c r="P439" s="90"/>
      <c r="Q439" s="91"/>
      <c r="R439" s="90"/>
      <c r="S439" s="94"/>
      <c r="T439" s="32"/>
      <c r="U439" s="78"/>
      <c r="V439" s="81"/>
      <c r="W439" s="81"/>
      <c r="X439" s="81"/>
      <c r="Y439" s="84"/>
      <c r="Z439" s="34"/>
      <c r="AA439" s="28"/>
      <c r="AB439" s="28"/>
      <c r="AC439" s="97"/>
      <c r="AD439" s="100"/>
      <c r="AE439" s="102"/>
    </row>
    <row r="440" spans="1:31" ht="17.100000000000001" customHeight="1" x14ac:dyDescent="0.25">
      <c r="A440" s="51"/>
      <c r="B440" s="66"/>
      <c r="C440" s="68"/>
      <c r="D440" s="69"/>
      <c r="E440" s="70"/>
      <c r="F440" s="68"/>
      <c r="G440" s="70"/>
      <c r="H440" s="59"/>
      <c r="I440" s="24"/>
      <c r="J440" s="62"/>
      <c r="K440" s="71" t="s">
        <v>51</v>
      </c>
      <c r="L440" s="16" t="s">
        <v>51</v>
      </c>
      <c r="M440" s="66" t="s">
        <v>51</v>
      </c>
      <c r="N440" s="38"/>
      <c r="O440" s="45"/>
      <c r="P440" s="38"/>
      <c r="Q440" s="45"/>
      <c r="R440" s="38"/>
      <c r="S440" s="39"/>
      <c r="T440" s="31">
        <f t="shared" ref="T440" si="135">R439-P439</f>
        <v>0</v>
      </c>
      <c r="U440" s="78"/>
      <c r="V440" s="81"/>
      <c r="W440" s="81"/>
      <c r="X440" s="81"/>
      <c r="Y440" s="84"/>
      <c r="Z440" s="34"/>
      <c r="AA440" s="29"/>
      <c r="AB440" s="29"/>
      <c r="AC440" s="97"/>
      <c r="AD440" s="104"/>
      <c r="AE440" s="102"/>
    </row>
    <row r="441" spans="1:31" ht="17.100000000000001" customHeight="1" thickBot="1" x14ac:dyDescent="0.3">
      <c r="A441" s="52"/>
      <c r="B441" s="67"/>
      <c r="C441" s="73"/>
      <c r="D441" s="74"/>
      <c r="E441" s="75"/>
      <c r="F441" s="73"/>
      <c r="G441" s="75"/>
      <c r="H441" s="60"/>
      <c r="I441" s="25"/>
      <c r="J441" s="89"/>
      <c r="K441" s="72"/>
      <c r="L441" s="19" t="s">
        <v>52</v>
      </c>
      <c r="M441" s="67"/>
      <c r="N441" s="92"/>
      <c r="O441" s="93"/>
      <c r="P441" s="92"/>
      <c r="Q441" s="93"/>
      <c r="R441" s="92"/>
      <c r="S441" s="95"/>
      <c r="T441" s="33"/>
      <c r="U441" s="79"/>
      <c r="V441" s="82"/>
      <c r="W441" s="82"/>
      <c r="X441" s="82"/>
      <c r="Y441" s="85"/>
      <c r="Z441" s="35"/>
      <c r="AA441" s="30"/>
      <c r="AB441" s="30"/>
      <c r="AC441" s="105"/>
      <c r="AD441" s="106"/>
      <c r="AE441" s="103"/>
    </row>
    <row r="442" spans="1:31" ht="17.100000000000001" customHeight="1" x14ac:dyDescent="0.25">
      <c r="A442" s="50">
        <v>46023</v>
      </c>
      <c r="B442" s="53"/>
      <c r="C442" s="55"/>
      <c r="D442" s="56"/>
      <c r="E442" s="57"/>
      <c r="F442" s="55"/>
      <c r="G442" s="57"/>
      <c r="H442" s="58"/>
      <c r="I442" s="26"/>
      <c r="J442" s="61"/>
      <c r="K442" s="64"/>
      <c r="L442" s="11"/>
      <c r="M442" s="53"/>
      <c r="N442" s="42"/>
      <c r="O442" s="43"/>
      <c r="P442" s="36"/>
      <c r="Q442" s="43"/>
      <c r="R442" s="36"/>
      <c r="S442" s="37"/>
      <c r="T442" s="76">
        <f t="shared" ref="T442" si="136">R442-P442</f>
        <v>0</v>
      </c>
      <c r="U442" s="77"/>
      <c r="V442" s="80"/>
      <c r="W442" s="80"/>
      <c r="X442" s="80"/>
      <c r="Y442" s="83"/>
      <c r="Z442" s="86"/>
      <c r="AA442" s="48"/>
      <c r="AB442" s="48"/>
      <c r="AC442" s="96"/>
      <c r="AD442" s="99"/>
      <c r="AE442" s="101"/>
    </row>
    <row r="443" spans="1:31" ht="17.100000000000001" customHeight="1" x14ac:dyDescent="0.25">
      <c r="A443" s="51"/>
      <c r="B443" s="54"/>
      <c r="C443" s="68"/>
      <c r="D443" s="69"/>
      <c r="E443" s="70"/>
      <c r="F443" s="68"/>
      <c r="G443" s="70"/>
      <c r="H443" s="59"/>
      <c r="I443" s="24"/>
      <c r="J443" s="62"/>
      <c r="K443" s="65"/>
      <c r="L443" s="17"/>
      <c r="M443" s="54"/>
      <c r="N443" s="44"/>
      <c r="O443" s="45"/>
      <c r="P443" s="38"/>
      <c r="Q443" s="45"/>
      <c r="R443" s="38"/>
      <c r="S443" s="39"/>
      <c r="T443" s="32"/>
      <c r="U443" s="78"/>
      <c r="V443" s="81"/>
      <c r="W443" s="81"/>
      <c r="X443" s="81"/>
      <c r="Y443" s="84"/>
      <c r="Z443" s="34"/>
      <c r="AA443" s="29"/>
      <c r="AB443" s="29"/>
      <c r="AC443" s="97"/>
      <c r="AD443" s="100"/>
      <c r="AE443" s="102"/>
    </row>
    <row r="444" spans="1:31" ht="17.100000000000001" customHeight="1" x14ac:dyDescent="0.25">
      <c r="A444" s="51"/>
      <c r="B444" s="66"/>
      <c r="C444" s="68"/>
      <c r="D444" s="69"/>
      <c r="E444" s="70"/>
      <c r="F444" s="68"/>
      <c r="G444" s="70"/>
      <c r="H444" s="59"/>
      <c r="I444" s="27"/>
      <c r="J444" s="63"/>
      <c r="K444" s="71"/>
      <c r="L444" s="18"/>
      <c r="M444" s="66"/>
      <c r="N444" s="46"/>
      <c r="O444" s="47"/>
      <c r="P444" s="40"/>
      <c r="Q444" s="47"/>
      <c r="R444" s="40"/>
      <c r="S444" s="41"/>
      <c r="T444" s="31">
        <f>(P445-P442)+(R442-R445)</f>
        <v>0</v>
      </c>
      <c r="U444" s="78"/>
      <c r="V444" s="81"/>
      <c r="W444" s="81"/>
      <c r="X444" s="81"/>
      <c r="Y444" s="84"/>
      <c r="Z444" s="87"/>
      <c r="AA444" s="49"/>
      <c r="AB444" s="49"/>
      <c r="AC444" s="98"/>
      <c r="AD444" s="104"/>
      <c r="AE444" s="102"/>
    </row>
    <row r="445" spans="1:31" ht="17.100000000000001" customHeight="1" x14ac:dyDescent="0.25">
      <c r="A445" s="51"/>
      <c r="B445" s="54"/>
      <c r="C445" s="68"/>
      <c r="D445" s="69"/>
      <c r="E445" s="70"/>
      <c r="F445" s="68"/>
      <c r="G445" s="70"/>
      <c r="H445" s="59"/>
      <c r="I445" s="23"/>
      <c r="J445" s="88"/>
      <c r="K445" s="65"/>
      <c r="L445" s="18"/>
      <c r="M445" s="54"/>
      <c r="N445" s="90">
        <f>(P442-N442)+(P445-P442)+(R442-R445)</f>
        <v>0</v>
      </c>
      <c r="O445" s="91"/>
      <c r="P445" s="90"/>
      <c r="Q445" s="91"/>
      <c r="R445" s="90"/>
      <c r="S445" s="94"/>
      <c r="T445" s="32"/>
      <c r="U445" s="78"/>
      <c r="V445" s="81"/>
      <c r="W445" s="81"/>
      <c r="X445" s="81"/>
      <c r="Y445" s="84"/>
      <c r="Z445" s="34"/>
      <c r="AA445" s="28"/>
      <c r="AB445" s="28"/>
      <c r="AC445" s="97"/>
      <c r="AD445" s="100"/>
      <c r="AE445" s="102"/>
    </row>
    <row r="446" spans="1:31" ht="17.100000000000001" customHeight="1" x14ac:dyDescent="0.25">
      <c r="A446" s="51"/>
      <c r="B446" s="66"/>
      <c r="C446" s="68"/>
      <c r="D446" s="69"/>
      <c r="E446" s="70"/>
      <c r="F446" s="68"/>
      <c r="G446" s="70"/>
      <c r="H446" s="59"/>
      <c r="I446" s="24"/>
      <c r="J446" s="62"/>
      <c r="K446" s="71" t="s">
        <v>51</v>
      </c>
      <c r="L446" s="16" t="s">
        <v>51</v>
      </c>
      <c r="M446" s="66" t="s">
        <v>51</v>
      </c>
      <c r="N446" s="38"/>
      <c r="O446" s="45"/>
      <c r="P446" s="38"/>
      <c r="Q446" s="45"/>
      <c r="R446" s="38"/>
      <c r="S446" s="39"/>
      <c r="T446" s="31">
        <f t="shared" ref="T446" si="137">R445-P445</f>
        <v>0</v>
      </c>
      <c r="U446" s="78"/>
      <c r="V446" s="81"/>
      <c r="W446" s="81"/>
      <c r="X446" s="81"/>
      <c r="Y446" s="84"/>
      <c r="Z446" s="34"/>
      <c r="AA446" s="29"/>
      <c r="AB446" s="29"/>
      <c r="AC446" s="97"/>
      <c r="AD446" s="104"/>
      <c r="AE446" s="102"/>
    </row>
    <row r="447" spans="1:31" ht="17.100000000000001" customHeight="1" thickBot="1" x14ac:dyDescent="0.3">
      <c r="A447" s="52"/>
      <c r="B447" s="67"/>
      <c r="C447" s="73"/>
      <c r="D447" s="74"/>
      <c r="E447" s="75"/>
      <c r="F447" s="73"/>
      <c r="G447" s="75"/>
      <c r="H447" s="60"/>
      <c r="I447" s="25"/>
      <c r="J447" s="89"/>
      <c r="K447" s="72"/>
      <c r="L447" s="19" t="s">
        <v>52</v>
      </c>
      <c r="M447" s="67"/>
      <c r="N447" s="92"/>
      <c r="O447" s="93"/>
      <c r="P447" s="92"/>
      <c r="Q447" s="93"/>
      <c r="R447" s="92"/>
      <c r="S447" s="95"/>
      <c r="T447" s="33"/>
      <c r="U447" s="79"/>
      <c r="V447" s="82"/>
      <c r="W447" s="82"/>
      <c r="X447" s="82"/>
      <c r="Y447" s="85"/>
      <c r="Z447" s="35"/>
      <c r="AA447" s="30"/>
      <c r="AB447" s="30"/>
      <c r="AC447" s="105"/>
      <c r="AD447" s="106"/>
      <c r="AE447" s="103"/>
    </row>
    <row r="449" spans="1:31" ht="17.100000000000001" customHeight="1" thickBot="1" x14ac:dyDescent="0.3"/>
    <row r="450" spans="1:31" ht="17.100000000000001" customHeight="1" x14ac:dyDescent="0.25">
      <c r="A450" s="50">
        <v>46023</v>
      </c>
      <c r="B450" s="53"/>
      <c r="C450" s="55"/>
      <c r="D450" s="56"/>
      <c r="E450" s="57"/>
      <c r="F450" s="55"/>
      <c r="G450" s="57"/>
      <c r="H450" s="58"/>
      <c r="I450" s="26"/>
      <c r="J450" s="61"/>
      <c r="K450" s="64"/>
      <c r="L450" s="11"/>
      <c r="M450" s="53"/>
      <c r="N450" s="42"/>
      <c r="O450" s="43"/>
      <c r="P450" s="36"/>
      <c r="Q450" s="43"/>
      <c r="R450" s="36"/>
      <c r="S450" s="37"/>
      <c r="T450" s="76">
        <f t="shared" ref="T450" si="138">R450-P450</f>
        <v>0</v>
      </c>
      <c r="U450" s="77"/>
      <c r="V450" s="80"/>
      <c r="W450" s="80"/>
      <c r="X450" s="80"/>
      <c r="Y450" s="83"/>
      <c r="Z450" s="86"/>
      <c r="AA450" s="48"/>
      <c r="AB450" s="48"/>
      <c r="AC450" s="96"/>
      <c r="AD450" s="99"/>
      <c r="AE450" s="101"/>
    </row>
    <row r="451" spans="1:31" ht="17.100000000000001" customHeight="1" x14ac:dyDescent="0.25">
      <c r="A451" s="51"/>
      <c r="B451" s="54"/>
      <c r="C451" s="68"/>
      <c r="D451" s="69"/>
      <c r="E451" s="70"/>
      <c r="F451" s="68"/>
      <c r="G451" s="70"/>
      <c r="H451" s="59"/>
      <c r="I451" s="24"/>
      <c r="J451" s="62"/>
      <c r="K451" s="65"/>
      <c r="L451" s="17"/>
      <c r="M451" s="54"/>
      <c r="N451" s="44"/>
      <c r="O451" s="45"/>
      <c r="P451" s="38"/>
      <c r="Q451" s="45"/>
      <c r="R451" s="38"/>
      <c r="S451" s="39"/>
      <c r="T451" s="32"/>
      <c r="U451" s="78"/>
      <c r="V451" s="81"/>
      <c r="W451" s="81"/>
      <c r="X451" s="81"/>
      <c r="Y451" s="84"/>
      <c r="Z451" s="34"/>
      <c r="AA451" s="29"/>
      <c r="AB451" s="29"/>
      <c r="AC451" s="97"/>
      <c r="AD451" s="100"/>
      <c r="AE451" s="102"/>
    </row>
    <row r="452" spans="1:31" ht="17.100000000000001" customHeight="1" x14ac:dyDescent="0.25">
      <c r="A452" s="51"/>
      <c r="B452" s="66"/>
      <c r="C452" s="68"/>
      <c r="D452" s="69"/>
      <c r="E452" s="70"/>
      <c r="F452" s="68"/>
      <c r="G452" s="70"/>
      <c r="H452" s="59"/>
      <c r="I452" s="27"/>
      <c r="J452" s="63"/>
      <c r="K452" s="71"/>
      <c r="L452" s="18"/>
      <c r="M452" s="66"/>
      <c r="N452" s="46"/>
      <c r="O452" s="47"/>
      <c r="P452" s="40"/>
      <c r="Q452" s="47"/>
      <c r="R452" s="40"/>
      <c r="S452" s="41"/>
      <c r="T452" s="31">
        <f>(P453-P450)+(R450-R453)</f>
        <v>0</v>
      </c>
      <c r="U452" s="78"/>
      <c r="V452" s="81"/>
      <c r="W452" s="81"/>
      <c r="X452" s="81"/>
      <c r="Y452" s="84"/>
      <c r="Z452" s="87"/>
      <c r="AA452" s="49"/>
      <c r="AB452" s="49"/>
      <c r="AC452" s="98"/>
      <c r="AD452" s="104"/>
      <c r="AE452" s="102"/>
    </row>
    <row r="453" spans="1:31" ht="17.100000000000001" customHeight="1" x14ac:dyDescent="0.25">
      <c r="A453" s="51"/>
      <c r="B453" s="54"/>
      <c r="C453" s="68"/>
      <c r="D453" s="69"/>
      <c r="E453" s="70"/>
      <c r="F453" s="68"/>
      <c r="G453" s="70"/>
      <c r="H453" s="59"/>
      <c r="I453" s="23"/>
      <c r="J453" s="88"/>
      <c r="K453" s="65"/>
      <c r="L453" s="18"/>
      <c r="M453" s="54"/>
      <c r="N453" s="90">
        <f>(P450-N450)+(P453-P450)+(R450-R453)</f>
        <v>0</v>
      </c>
      <c r="O453" s="91"/>
      <c r="P453" s="90"/>
      <c r="Q453" s="91"/>
      <c r="R453" s="90"/>
      <c r="S453" s="94"/>
      <c r="T453" s="32"/>
      <c r="U453" s="78"/>
      <c r="V453" s="81"/>
      <c r="W453" s="81"/>
      <c r="X453" s="81"/>
      <c r="Y453" s="84"/>
      <c r="Z453" s="34"/>
      <c r="AA453" s="28"/>
      <c r="AB453" s="28"/>
      <c r="AC453" s="97"/>
      <c r="AD453" s="100"/>
      <c r="AE453" s="102"/>
    </row>
    <row r="454" spans="1:31" ht="17.100000000000001" customHeight="1" x14ac:dyDescent="0.25">
      <c r="A454" s="51"/>
      <c r="B454" s="66"/>
      <c r="C454" s="68"/>
      <c r="D454" s="69"/>
      <c r="E454" s="70"/>
      <c r="F454" s="68"/>
      <c r="G454" s="70"/>
      <c r="H454" s="59"/>
      <c r="I454" s="24"/>
      <c r="J454" s="62"/>
      <c r="K454" s="71" t="s">
        <v>51</v>
      </c>
      <c r="L454" s="16" t="s">
        <v>51</v>
      </c>
      <c r="M454" s="66" t="s">
        <v>51</v>
      </c>
      <c r="N454" s="38"/>
      <c r="O454" s="45"/>
      <c r="P454" s="38"/>
      <c r="Q454" s="45"/>
      <c r="R454" s="38"/>
      <c r="S454" s="39"/>
      <c r="T454" s="31">
        <f t="shared" ref="T454" si="139">R453-P453</f>
        <v>0</v>
      </c>
      <c r="U454" s="78"/>
      <c r="V454" s="81"/>
      <c r="W454" s="81"/>
      <c r="X454" s="81"/>
      <c r="Y454" s="84"/>
      <c r="Z454" s="34"/>
      <c r="AA454" s="29"/>
      <c r="AB454" s="29"/>
      <c r="AC454" s="97"/>
      <c r="AD454" s="104"/>
      <c r="AE454" s="102"/>
    </row>
    <row r="455" spans="1:31" ht="17.100000000000001" customHeight="1" thickBot="1" x14ac:dyDescent="0.3">
      <c r="A455" s="52"/>
      <c r="B455" s="67"/>
      <c r="C455" s="73"/>
      <c r="D455" s="74"/>
      <c r="E455" s="75"/>
      <c r="F455" s="73"/>
      <c r="G455" s="75"/>
      <c r="H455" s="60"/>
      <c r="I455" s="25"/>
      <c r="J455" s="89"/>
      <c r="K455" s="72"/>
      <c r="L455" s="19" t="s">
        <v>52</v>
      </c>
      <c r="M455" s="67"/>
      <c r="N455" s="92"/>
      <c r="O455" s="93"/>
      <c r="P455" s="92"/>
      <c r="Q455" s="93"/>
      <c r="R455" s="92"/>
      <c r="S455" s="95"/>
      <c r="T455" s="33"/>
      <c r="U455" s="79"/>
      <c r="V455" s="82"/>
      <c r="W455" s="82"/>
      <c r="X455" s="82"/>
      <c r="Y455" s="85"/>
      <c r="Z455" s="35"/>
      <c r="AA455" s="30"/>
      <c r="AB455" s="30"/>
      <c r="AC455" s="105"/>
      <c r="AD455" s="106"/>
      <c r="AE455" s="103"/>
    </row>
    <row r="456" spans="1:31" ht="17.100000000000001" customHeight="1" x14ac:dyDescent="0.25">
      <c r="A456" s="50">
        <v>46023</v>
      </c>
      <c r="B456" s="53"/>
      <c r="C456" s="55"/>
      <c r="D456" s="56"/>
      <c r="E456" s="57"/>
      <c r="F456" s="55"/>
      <c r="G456" s="57"/>
      <c r="H456" s="58"/>
      <c r="I456" s="26"/>
      <c r="J456" s="61"/>
      <c r="K456" s="64"/>
      <c r="L456" s="11"/>
      <c r="M456" s="53"/>
      <c r="N456" s="42"/>
      <c r="O456" s="43"/>
      <c r="P456" s="36"/>
      <c r="Q456" s="43"/>
      <c r="R456" s="36"/>
      <c r="S456" s="37"/>
      <c r="T456" s="76">
        <f t="shared" ref="T456" si="140">R456-P456</f>
        <v>0</v>
      </c>
      <c r="U456" s="77"/>
      <c r="V456" s="80"/>
      <c r="W456" s="80"/>
      <c r="X456" s="80"/>
      <c r="Y456" s="83"/>
      <c r="Z456" s="86"/>
      <c r="AA456" s="48"/>
      <c r="AB456" s="48"/>
      <c r="AC456" s="96"/>
      <c r="AD456" s="99"/>
      <c r="AE456" s="101"/>
    </row>
    <row r="457" spans="1:31" ht="17.100000000000001" customHeight="1" x14ac:dyDescent="0.25">
      <c r="A457" s="51"/>
      <c r="B457" s="54"/>
      <c r="C457" s="68"/>
      <c r="D457" s="69"/>
      <c r="E457" s="70"/>
      <c r="F457" s="68"/>
      <c r="G457" s="70"/>
      <c r="H457" s="59"/>
      <c r="I457" s="24"/>
      <c r="J457" s="62"/>
      <c r="K457" s="65"/>
      <c r="L457" s="17"/>
      <c r="M457" s="54"/>
      <c r="N457" s="44"/>
      <c r="O457" s="45"/>
      <c r="P457" s="38"/>
      <c r="Q457" s="45"/>
      <c r="R457" s="38"/>
      <c r="S457" s="39"/>
      <c r="T457" s="32"/>
      <c r="U457" s="78"/>
      <c r="V457" s="81"/>
      <c r="W457" s="81"/>
      <c r="X457" s="81"/>
      <c r="Y457" s="84"/>
      <c r="Z457" s="34"/>
      <c r="AA457" s="29"/>
      <c r="AB457" s="29"/>
      <c r="AC457" s="97"/>
      <c r="AD457" s="100"/>
      <c r="AE457" s="102"/>
    </row>
    <row r="458" spans="1:31" ht="17.100000000000001" customHeight="1" x14ac:dyDescent="0.25">
      <c r="A458" s="51"/>
      <c r="B458" s="66"/>
      <c r="C458" s="68"/>
      <c r="D458" s="69"/>
      <c r="E458" s="70"/>
      <c r="F458" s="68"/>
      <c r="G458" s="70"/>
      <c r="H458" s="59"/>
      <c r="I458" s="27"/>
      <c r="J458" s="63"/>
      <c r="K458" s="71"/>
      <c r="L458" s="18"/>
      <c r="M458" s="66"/>
      <c r="N458" s="46"/>
      <c r="O458" s="47"/>
      <c r="P458" s="40"/>
      <c r="Q458" s="47"/>
      <c r="R458" s="40"/>
      <c r="S458" s="41"/>
      <c r="T458" s="31">
        <f>(P459-P456)+(R456-R459)</f>
        <v>0</v>
      </c>
      <c r="U458" s="78"/>
      <c r="V458" s="81"/>
      <c r="W458" s="81"/>
      <c r="X458" s="81"/>
      <c r="Y458" s="84"/>
      <c r="Z458" s="87"/>
      <c r="AA458" s="49"/>
      <c r="AB458" s="49"/>
      <c r="AC458" s="98"/>
      <c r="AD458" s="104"/>
      <c r="AE458" s="102"/>
    </row>
    <row r="459" spans="1:31" ht="17.100000000000001" customHeight="1" x14ac:dyDescent="0.25">
      <c r="A459" s="51"/>
      <c r="B459" s="54"/>
      <c r="C459" s="68"/>
      <c r="D459" s="69"/>
      <c r="E459" s="70"/>
      <c r="F459" s="68"/>
      <c r="G459" s="70"/>
      <c r="H459" s="59"/>
      <c r="I459" s="23"/>
      <c r="J459" s="88"/>
      <c r="K459" s="65"/>
      <c r="L459" s="18"/>
      <c r="M459" s="54"/>
      <c r="N459" s="90">
        <f>(P456-N456)+(P459-P456)+(R456-R459)</f>
        <v>0</v>
      </c>
      <c r="O459" s="91"/>
      <c r="P459" s="90"/>
      <c r="Q459" s="91"/>
      <c r="R459" s="90"/>
      <c r="S459" s="94"/>
      <c r="T459" s="32"/>
      <c r="U459" s="78"/>
      <c r="V459" s="81"/>
      <c r="W459" s="81"/>
      <c r="X459" s="81"/>
      <c r="Y459" s="84"/>
      <c r="Z459" s="34"/>
      <c r="AA459" s="28"/>
      <c r="AB459" s="28"/>
      <c r="AC459" s="97"/>
      <c r="AD459" s="100"/>
      <c r="AE459" s="102"/>
    </row>
    <row r="460" spans="1:31" ht="17.100000000000001" customHeight="1" x14ac:dyDescent="0.25">
      <c r="A460" s="51"/>
      <c r="B460" s="66"/>
      <c r="C460" s="68"/>
      <c r="D460" s="69"/>
      <c r="E460" s="70"/>
      <c r="F460" s="68"/>
      <c r="G460" s="70"/>
      <c r="H460" s="59"/>
      <c r="I460" s="24"/>
      <c r="J460" s="62"/>
      <c r="K460" s="71" t="s">
        <v>51</v>
      </c>
      <c r="L460" s="16" t="s">
        <v>51</v>
      </c>
      <c r="M460" s="66" t="s">
        <v>51</v>
      </c>
      <c r="N460" s="38"/>
      <c r="O460" s="45"/>
      <c r="P460" s="38"/>
      <c r="Q460" s="45"/>
      <c r="R460" s="38"/>
      <c r="S460" s="39"/>
      <c r="T460" s="31">
        <f t="shared" ref="T460" si="141">R459-P459</f>
        <v>0</v>
      </c>
      <c r="U460" s="78"/>
      <c r="V460" s="81"/>
      <c r="W460" s="81"/>
      <c r="X460" s="81"/>
      <c r="Y460" s="84"/>
      <c r="Z460" s="34"/>
      <c r="AA460" s="29"/>
      <c r="AB460" s="29"/>
      <c r="AC460" s="97"/>
      <c r="AD460" s="104"/>
      <c r="AE460" s="102"/>
    </row>
    <row r="461" spans="1:31" ht="17.100000000000001" customHeight="1" thickBot="1" x14ac:dyDescent="0.3">
      <c r="A461" s="52"/>
      <c r="B461" s="67"/>
      <c r="C461" s="73"/>
      <c r="D461" s="74"/>
      <c r="E461" s="75"/>
      <c r="F461" s="73"/>
      <c r="G461" s="75"/>
      <c r="H461" s="60"/>
      <c r="I461" s="25"/>
      <c r="J461" s="89"/>
      <c r="K461" s="72"/>
      <c r="L461" s="19" t="s">
        <v>52</v>
      </c>
      <c r="M461" s="67"/>
      <c r="N461" s="92"/>
      <c r="O461" s="93"/>
      <c r="P461" s="92"/>
      <c r="Q461" s="93"/>
      <c r="R461" s="92"/>
      <c r="S461" s="95"/>
      <c r="T461" s="33"/>
      <c r="U461" s="79"/>
      <c r="V461" s="82"/>
      <c r="W461" s="82"/>
      <c r="X461" s="82"/>
      <c r="Y461" s="85"/>
      <c r="Z461" s="35"/>
      <c r="AA461" s="30"/>
      <c r="AB461" s="30"/>
      <c r="AC461" s="105"/>
      <c r="AD461" s="106"/>
      <c r="AE461" s="103"/>
    </row>
    <row r="462" spans="1:31" ht="17.100000000000001" customHeight="1" x14ac:dyDescent="0.25">
      <c r="A462" s="50">
        <v>46023</v>
      </c>
      <c r="B462" s="53"/>
      <c r="C462" s="55"/>
      <c r="D462" s="56"/>
      <c r="E462" s="57"/>
      <c r="F462" s="55"/>
      <c r="G462" s="57"/>
      <c r="H462" s="58"/>
      <c r="I462" s="26"/>
      <c r="J462" s="61"/>
      <c r="K462" s="64"/>
      <c r="L462" s="11"/>
      <c r="M462" s="53"/>
      <c r="N462" s="42"/>
      <c r="O462" s="43"/>
      <c r="P462" s="36"/>
      <c r="Q462" s="43"/>
      <c r="R462" s="36"/>
      <c r="S462" s="37"/>
      <c r="T462" s="76">
        <f t="shared" ref="T462" si="142">R462-P462</f>
        <v>0</v>
      </c>
      <c r="U462" s="77"/>
      <c r="V462" s="80"/>
      <c r="W462" s="80"/>
      <c r="X462" s="80"/>
      <c r="Y462" s="83"/>
      <c r="Z462" s="86"/>
      <c r="AA462" s="48"/>
      <c r="AB462" s="48"/>
      <c r="AC462" s="96"/>
      <c r="AD462" s="99"/>
      <c r="AE462" s="101"/>
    </row>
    <row r="463" spans="1:31" ht="17.100000000000001" customHeight="1" x14ac:dyDescent="0.25">
      <c r="A463" s="51"/>
      <c r="B463" s="54"/>
      <c r="C463" s="68"/>
      <c r="D463" s="69"/>
      <c r="E463" s="70"/>
      <c r="F463" s="68"/>
      <c r="G463" s="70"/>
      <c r="H463" s="59"/>
      <c r="I463" s="24"/>
      <c r="J463" s="62"/>
      <c r="K463" s="65"/>
      <c r="L463" s="17"/>
      <c r="M463" s="54"/>
      <c r="N463" s="44"/>
      <c r="O463" s="45"/>
      <c r="P463" s="38"/>
      <c r="Q463" s="45"/>
      <c r="R463" s="38"/>
      <c r="S463" s="39"/>
      <c r="T463" s="32"/>
      <c r="U463" s="78"/>
      <c r="V463" s="81"/>
      <c r="W463" s="81"/>
      <c r="X463" s="81"/>
      <c r="Y463" s="84"/>
      <c r="Z463" s="34"/>
      <c r="AA463" s="29"/>
      <c r="AB463" s="29"/>
      <c r="AC463" s="97"/>
      <c r="AD463" s="100"/>
      <c r="AE463" s="102"/>
    </row>
    <row r="464" spans="1:31" ht="17.100000000000001" customHeight="1" x14ac:dyDescent="0.25">
      <c r="A464" s="51"/>
      <c r="B464" s="66"/>
      <c r="C464" s="68"/>
      <c r="D464" s="69"/>
      <c r="E464" s="70"/>
      <c r="F464" s="68"/>
      <c r="G464" s="70"/>
      <c r="H464" s="59"/>
      <c r="I464" s="27"/>
      <c r="J464" s="63"/>
      <c r="K464" s="71"/>
      <c r="L464" s="18"/>
      <c r="M464" s="66"/>
      <c r="N464" s="46"/>
      <c r="O464" s="47"/>
      <c r="P464" s="40"/>
      <c r="Q464" s="47"/>
      <c r="R464" s="40"/>
      <c r="S464" s="41"/>
      <c r="T464" s="31">
        <f>(P465-P462)+(R462-R465)</f>
        <v>0</v>
      </c>
      <c r="U464" s="78"/>
      <c r="V464" s="81"/>
      <c r="W464" s="81"/>
      <c r="X464" s="81"/>
      <c r="Y464" s="84"/>
      <c r="Z464" s="87"/>
      <c r="AA464" s="49"/>
      <c r="AB464" s="49"/>
      <c r="AC464" s="98"/>
      <c r="AD464" s="104"/>
      <c r="AE464" s="102"/>
    </row>
    <row r="465" spans="1:31" ht="17.100000000000001" customHeight="1" x14ac:dyDescent="0.25">
      <c r="A465" s="51"/>
      <c r="B465" s="54"/>
      <c r="C465" s="68"/>
      <c r="D465" s="69"/>
      <c r="E465" s="70"/>
      <c r="F465" s="68"/>
      <c r="G465" s="70"/>
      <c r="H465" s="59"/>
      <c r="I465" s="23"/>
      <c r="J465" s="88"/>
      <c r="K465" s="65"/>
      <c r="L465" s="18"/>
      <c r="M465" s="54"/>
      <c r="N465" s="90">
        <f>(P462-N462)+(P465-P462)+(R462-R465)</f>
        <v>0</v>
      </c>
      <c r="O465" s="91"/>
      <c r="P465" s="90"/>
      <c r="Q465" s="91"/>
      <c r="R465" s="90"/>
      <c r="S465" s="94"/>
      <c r="T465" s="32"/>
      <c r="U465" s="78"/>
      <c r="V465" s="81"/>
      <c r="W465" s="81"/>
      <c r="X465" s="81"/>
      <c r="Y465" s="84"/>
      <c r="Z465" s="34"/>
      <c r="AA465" s="28"/>
      <c r="AB465" s="28"/>
      <c r="AC465" s="97"/>
      <c r="AD465" s="100"/>
      <c r="AE465" s="102"/>
    </row>
    <row r="466" spans="1:31" ht="17.100000000000001" customHeight="1" x14ac:dyDescent="0.25">
      <c r="A466" s="51"/>
      <c r="B466" s="66"/>
      <c r="C466" s="68"/>
      <c r="D466" s="69"/>
      <c r="E466" s="70"/>
      <c r="F466" s="68"/>
      <c r="G466" s="70"/>
      <c r="H466" s="59"/>
      <c r="I466" s="24"/>
      <c r="J466" s="62"/>
      <c r="K466" s="71" t="s">
        <v>51</v>
      </c>
      <c r="L466" s="16" t="s">
        <v>51</v>
      </c>
      <c r="M466" s="66" t="s">
        <v>51</v>
      </c>
      <c r="N466" s="38"/>
      <c r="O466" s="45"/>
      <c r="P466" s="38"/>
      <c r="Q466" s="45"/>
      <c r="R466" s="38"/>
      <c r="S466" s="39"/>
      <c r="T466" s="31">
        <f t="shared" ref="T466" si="143">R465-P465</f>
        <v>0</v>
      </c>
      <c r="U466" s="78"/>
      <c r="V466" s="81"/>
      <c r="W466" s="81"/>
      <c r="X466" s="81"/>
      <c r="Y466" s="84"/>
      <c r="Z466" s="34"/>
      <c r="AA466" s="29"/>
      <c r="AB466" s="29"/>
      <c r="AC466" s="97"/>
      <c r="AD466" s="104"/>
      <c r="AE466" s="102"/>
    </row>
    <row r="467" spans="1:31" ht="17.100000000000001" customHeight="1" thickBot="1" x14ac:dyDescent="0.3">
      <c r="A467" s="52"/>
      <c r="B467" s="67"/>
      <c r="C467" s="73"/>
      <c r="D467" s="74"/>
      <c r="E467" s="75"/>
      <c r="F467" s="73"/>
      <c r="G467" s="75"/>
      <c r="H467" s="60"/>
      <c r="I467" s="25"/>
      <c r="J467" s="89"/>
      <c r="K467" s="72"/>
      <c r="L467" s="19" t="s">
        <v>52</v>
      </c>
      <c r="M467" s="67"/>
      <c r="N467" s="92"/>
      <c r="O467" s="93"/>
      <c r="P467" s="92"/>
      <c r="Q467" s="93"/>
      <c r="R467" s="92"/>
      <c r="S467" s="95"/>
      <c r="T467" s="33"/>
      <c r="U467" s="79"/>
      <c r="V467" s="82"/>
      <c r="W467" s="82"/>
      <c r="X467" s="82"/>
      <c r="Y467" s="85"/>
      <c r="Z467" s="35"/>
      <c r="AA467" s="30"/>
      <c r="AB467" s="30"/>
      <c r="AC467" s="105"/>
      <c r="AD467" s="106"/>
      <c r="AE467" s="103"/>
    </row>
    <row r="468" spans="1:31" ht="17.100000000000001" customHeight="1" x14ac:dyDescent="0.25">
      <c r="A468" s="50">
        <v>46023</v>
      </c>
      <c r="B468" s="53"/>
      <c r="C468" s="55"/>
      <c r="D468" s="56"/>
      <c r="E468" s="57"/>
      <c r="F468" s="55"/>
      <c r="G468" s="57"/>
      <c r="H468" s="58"/>
      <c r="I468" s="26"/>
      <c r="J468" s="61"/>
      <c r="K468" s="64"/>
      <c r="L468" s="11"/>
      <c r="M468" s="53"/>
      <c r="N468" s="42"/>
      <c r="O468" s="43"/>
      <c r="P468" s="36"/>
      <c r="Q468" s="43"/>
      <c r="R468" s="36"/>
      <c r="S468" s="37"/>
      <c r="T468" s="76">
        <f t="shared" ref="T468" si="144">R468-P468</f>
        <v>0</v>
      </c>
      <c r="U468" s="77"/>
      <c r="V468" s="80"/>
      <c r="W468" s="80"/>
      <c r="X468" s="80"/>
      <c r="Y468" s="83"/>
      <c r="Z468" s="86"/>
      <c r="AA468" s="48"/>
      <c r="AB468" s="48"/>
      <c r="AC468" s="96"/>
      <c r="AD468" s="99"/>
      <c r="AE468" s="101"/>
    </row>
    <row r="469" spans="1:31" ht="17.100000000000001" customHeight="1" x14ac:dyDescent="0.25">
      <c r="A469" s="51"/>
      <c r="B469" s="54"/>
      <c r="C469" s="68"/>
      <c r="D469" s="69"/>
      <c r="E469" s="70"/>
      <c r="F469" s="68"/>
      <c r="G469" s="70"/>
      <c r="H469" s="59"/>
      <c r="I469" s="24"/>
      <c r="J469" s="62"/>
      <c r="K469" s="65"/>
      <c r="L469" s="17"/>
      <c r="M469" s="54"/>
      <c r="N469" s="44"/>
      <c r="O469" s="45"/>
      <c r="P469" s="38"/>
      <c r="Q469" s="45"/>
      <c r="R469" s="38"/>
      <c r="S469" s="39"/>
      <c r="T469" s="32"/>
      <c r="U469" s="78"/>
      <c r="V469" s="81"/>
      <c r="W469" s="81"/>
      <c r="X469" s="81"/>
      <c r="Y469" s="84"/>
      <c r="Z469" s="34"/>
      <c r="AA469" s="29"/>
      <c r="AB469" s="29"/>
      <c r="AC469" s="97"/>
      <c r="AD469" s="100"/>
      <c r="AE469" s="102"/>
    </row>
    <row r="470" spans="1:31" ht="17.100000000000001" customHeight="1" x14ac:dyDescent="0.25">
      <c r="A470" s="51"/>
      <c r="B470" s="66"/>
      <c r="C470" s="68"/>
      <c r="D470" s="69"/>
      <c r="E470" s="70"/>
      <c r="F470" s="68"/>
      <c r="G470" s="70"/>
      <c r="H470" s="59"/>
      <c r="I470" s="27"/>
      <c r="J470" s="63"/>
      <c r="K470" s="71"/>
      <c r="L470" s="18"/>
      <c r="M470" s="66"/>
      <c r="N470" s="46"/>
      <c r="O470" s="47"/>
      <c r="P470" s="40"/>
      <c r="Q470" s="47"/>
      <c r="R470" s="40"/>
      <c r="S470" s="41"/>
      <c r="T470" s="31">
        <f>(P471-P468)+(R468-R471)</f>
        <v>0</v>
      </c>
      <c r="U470" s="78"/>
      <c r="V470" s="81"/>
      <c r="W470" s="81"/>
      <c r="X470" s="81"/>
      <c r="Y470" s="84"/>
      <c r="Z470" s="87"/>
      <c r="AA470" s="49"/>
      <c r="AB470" s="49"/>
      <c r="AC470" s="98"/>
      <c r="AD470" s="104"/>
      <c r="AE470" s="102"/>
    </row>
    <row r="471" spans="1:31" ht="17.100000000000001" customHeight="1" x14ac:dyDescent="0.25">
      <c r="A471" s="51"/>
      <c r="B471" s="54"/>
      <c r="C471" s="68"/>
      <c r="D471" s="69"/>
      <c r="E471" s="70"/>
      <c r="F471" s="68"/>
      <c r="G471" s="70"/>
      <c r="H471" s="59"/>
      <c r="I471" s="23"/>
      <c r="J471" s="88"/>
      <c r="K471" s="65"/>
      <c r="L471" s="18"/>
      <c r="M471" s="54"/>
      <c r="N471" s="90">
        <f>(P468-N468)+(P471-P468)+(R468-R471)</f>
        <v>0</v>
      </c>
      <c r="O471" s="91"/>
      <c r="P471" s="90"/>
      <c r="Q471" s="91"/>
      <c r="R471" s="90"/>
      <c r="S471" s="94"/>
      <c r="T471" s="32"/>
      <c r="U471" s="78"/>
      <c r="V471" s="81"/>
      <c r="W471" s="81"/>
      <c r="X471" s="81"/>
      <c r="Y471" s="84"/>
      <c r="Z471" s="34"/>
      <c r="AA471" s="28"/>
      <c r="AB471" s="28"/>
      <c r="AC471" s="97"/>
      <c r="AD471" s="100"/>
      <c r="AE471" s="102"/>
    </row>
    <row r="472" spans="1:31" ht="17.100000000000001" customHeight="1" x14ac:dyDescent="0.25">
      <c r="A472" s="51"/>
      <c r="B472" s="66"/>
      <c r="C472" s="68"/>
      <c r="D472" s="69"/>
      <c r="E472" s="70"/>
      <c r="F472" s="68"/>
      <c r="G472" s="70"/>
      <c r="H472" s="59"/>
      <c r="I472" s="24"/>
      <c r="J472" s="62"/>
      <c r="K472" s="71" t="s">
        <v>51</v>
      </c>
      <c r="L472" s="16" t="s">
        <v>51</v>
      </c>
      <c r="M472" s="66" t="s">
        <v>51</v>
      </c>
      <c r="N472" s="38"/>
      <c r="O472" s="45"/>
      <c r="P472" s="38"/>
      <c r="Q472" s="45"/>
      <c r="R472" s="38"/>
      <c r="S472" s="39"/>
      <c r="T472" s="31">
        <f t="shared" ref="T472" si="145">R471-P471</f>
        <v>0</v>
      </c>
      <c r="U472" s="78"/>
      <c r="V472" s="81"/>
      <c r="W472" s="81"/>
      <c r="X472" s="81"/>
      <c r="Y472" s="84"/>
      <c r="Z472" s="34"/>
      <c r="AA472" s="29"/>
      <c r="AB472" s="29"/>
      <c r="AC472" s="97"/>
      <c r="AD472" s="104"/>
      <c r="AE472" s="102"/>
    </row>
    <row r="473" spans="1:31" ht="17.100000000000001" customHeight="1" thickBot="1" x14ac:dyDescent="0.3">
      <c r="A473" s="52"/>
      <c r="B473" s="67"/>
      <c r="C473" s="73"/>
      <c r="D473" s="74"/>
      <c r="E473" s="75"/>
      <c r="F473" s="73"/>
      <c r="G473" s="75"/>
      <c r="H473" s="60"/>
      <c r="I473" s="25"/>
      <c r="J473" s="89"/>
      <c r="K473" s="72"/>
      <c r="L473" s="19" t="s">
        <v>52</v>
      </c>
      <c r="M473" s="67"/>
      <c r="N473" s="92"/>
      <c r="O473" s="93"/>
      <c r="P473" s="92"/>
      <c r="Q473" s="93"/>
      <c r="R473" s="92"/>
      <c r="S473" s="95"/>
      <c r="T473" s="33"/>
      <c r="U473" s="79"/>
      <c r="V473" s="82"/>
      <c r="W473" s="82"/>
      <c r="X473" s="82"/>
      <c r="Y473" s="85"/>
      <c r="Z473" s="35"/>
      <c r="AA473" s="30"/>
      <c r="AB473" s="30"/>
      <c r="AC473" s="105"/>
      <c r="AD473" s="106"/>
      <c r="AE473" s="103"/>
    </row>
    <row r="474" spans="1:31" ht="17.100000000000001" customHeight="1" x14ac:dyDescent="0.25">
      <c r="A474" s="50">
        <v>46023</v>
      </c>
      <c r="B474" s="53"/>
      <c r="C474" s="55"/>
      <c r="D474" s="56"/>
      <c r="E474" s="57"/>
      <c r="F474" s="55"/>
      <c r="G474" s="57"/>
      <c r="H474" s="58"/>
      <c r="I474" s="26"/>
      <c r="J474" s="61"/>
      <c r="K474" s="64"/>
      <c r="L474" s="11"/>
      <c r="M474" s="53"/>
      <c r="N474" s="42"/>
      <c r="O474" s="43"/>
      <c r="P474" s="36"/>
      <c r="Q474" s="43"/>
      <c r="R474" s="36"/>
      <c r="S474" s="37"/>
      <c r="T474" s="76">
        <f t="shared" ref="T474" si="146">R474-P474</f>
        <v>0</v>
      </c>
      <c r="U474" s="77"/>
      <c r="V474" s="80"/>
      <c r="W474" s="80"/>
      <c r="X474" s="80"/>
      <c r="Y474" s="83"/>
      <c r="Z474" s="86"/>
      <c r="AA474" s="48"/>
      <c r="AB474" s="48"/>
      <c r="AC474" s="96"/>
      <c r="AD474" s="99"/>
      <c r="AE474" s="101"/>
    </row>
    <row r="475" spans="1:31" ht="17.100000000000001" customHeight="1" x14ac:dyDescent="0.25">
      <c r="A475" s="51"/>
      <c r="B475" s="54"/>
      <c r="C475" s="68"/>
      <c r="D475" s="69"/>
      <c r="E475" s="70"/>
      <c r="F475" s="68"/>
      <c r="G475" s="70"/>
      <c r="H475" s="59"/>
      <c r="I475" s="24"/>
      <c r="J475" s="62"/>
      <c r="K475" s="65"/>
      <c r="L475" s="17"/>
      <c r="M475" s="54"/>
      <c r="N475" s="44"/>
      <c r="O475" s="45"/>
      <c r="P475" s="38"/>
      <c r="Q475" s="45"/>
      <c r="R475" s="38"/>
      <c r="S475" s="39"/>
      <c r="T475" s="32"/>
      <c r="U475" s="78"/>
      <c r="V475" s="81"/>
      <c r="W475" s="81"/>
      <c r="X475" s="81"/>
      <c r="Y475" s="84"/>
      <c r="Z475" s="34"/>
      <c r="AA475" s="29"/>
      <c r="AB475" s="29"/>
      <c r="AC475" s="97"/>
      <c r="AD475" s="100"/>
      <c r="AE475" s="102"/>
    </row>
    <row r="476" spans="1:31" ht="17.100000000000001" customHeight="1" x14ac:dyDescent="0.25">
      <c r="A476" s="51"/>
      <c r="B476" s="66"/>
      <c r="C476" s="68"/>
      <c r="D476" s="69"/>
      <c r="E476" s="70"/>
      <c r="F476" s="68"/>
      <c r="G476" s="70"/>
      <c r="H476" s="59"/>
      <c r="I476" s="27"/>
      <c r="J476" s="63"/>
      <c r="K476" s="71"/>
      <c r="L476" s="18"/>
      <c r="M476" s="66"/>
      <c r="N476" s="46"/>
      <c r="O476" s="47"/>
      <c r="P476" s="40"/>
      <c r="Q476" s="47"/>
      <c r="R476" s="40"/>
      <c r="S476" s="41"/>
      <c r="T476" s="31">
        <f>(P477-P474)+(R474-R477)</f>
        <v>0</v>
      </c>
      <c r="U476" s="78"/>
      <c r="V476" s="81"/>
      <c r="W476" s="81"/>
      <c r="X476" s="81"/>
      <c r="Y476" s="84"/>
      <c r="Z476" s="87"/>
      <c r="AA476" s="49"/>
      <c r="AB476" s="49"/>
      <c r="AC476" s="98"/>
      <c r="AD476" s="104"/>
      <c r="AE476" s="102"/>
    </row>
    <row r="477" spans="1:31" ht="17.100000000000001" customHeight="1" x14ac:dyDescent="0.25">
      <c r="A477" s="51"/>
      <c r="B477" s="54"/>
      <c r="C477" s="68"/>
      <c r="D477" s="69"/>
      <c r="E477" s="70"/>
      <c r="F477" s="68"/>
      <c r="G477" s="70"/>
      <c r="H477" s="59"/>
      <c r="I477" s="23"/>
      <c r="J477" s="88"/>
      <c r="K477" s="65"/>
      <c r="L477" s="18"/>
      <c r="M477" s="54"/>
      <c r="N477" s="90">
        <f>(P474-N474)+(P477-P474)+(R474-R477)</f>
        <v>0</v>
      </c>
      <c r="O477" s="91"/>
      <c r="P477" s="90"/>
      <c r="Q477" s="91"/>
      <c r="R477" s="90"/>
      <c r="S477" s="94"/>
      <c r="T477" s="32"/>
      <c r="U477" s="78"/>
      <c r="V477" s="81"/>
      <c r="W477" s="81"/>
      <c r="X477" s="81"/>
      <c r="Y477" s="84"/>
      <c r="Z477" s="34"/>
      <c r="AA477" s="28"/>
      <c r="AB477" s="28"/>
      <c r="AC477" s="97"/>
      <c r="AD477" s="100"/>
      <c r="AE477" s="102"/>
    </row>
    <row r="478" spans="1:31" ht="17.100000000000001" customHeight="1" x14ac:dyDescent="0.25">
      <c r="A478" s="51"/>
      <c r="B478" s="66"/>
      <c r="C478" s="68"/>
      <c r="D478" s="69"/>
      <c r="E478" s="70"/>
      <c r="F478" s="68"/>
      <c r="G478" s="70"/>
      <c r="H478" s="59"/>
      <c r="I478" s="24"/>
      <c r="J478" s="62"/>
      <c r="K478" s="71" t="s">
        <v>51</v>
      </c>
      <c r="L478" s="16" t="s">
        <v>51</v>
      </c>
      <c r="M478" s="66" t="s">
        <v>51</v>
      </c>
      <c r="N478" s="38"/>
      <c r="O478" s="45"/>
      <c r="P478" s="38"/>
      <c r="Q478" s="45"/>
      <c r="R478" s="38"/>
      <c r="S478" s="39"/>
      <c r="T478" s="31">
        <f t="shared" ref="T478" si="147">R477-P477</f>
        <v>0</v>
      </c>
      <c r="U478" s="78"/>
      <c r="V478" s="81"/>
      <c r="W478" s="81"/>
      <c r="X478" s="81"/>
      <c r="Y478" s="84"/>
      <c r="Z478" s="34"/>
      <c r="AA478" s="29"/>
      <c r="AB478" s="29"/>
      <c r="AC478" s="97"/>
      <c r="AD478" s="104"/>
      <c r="AE478" s="102"/>
    </row>
    <row r="479" spans="1:31" ht="17.100000000000001" customHeight="1" thickBot="1" x14ac:dyDescent="0.3">
      <c r="A479" s="52"/>
      <c r="B479" s="67"/>
      <c r="C479" s="73"/>
      <c r="D479" s="74"/>
      <c r="E479" s="75"/>
      <c r="F479" s="73"/>
      <c r="G479" s="75"/>
      <c r="H479" s="60"/>
      <c r="I479" s="25"/>
      <c r="J479" s="89"/>
      <c r="K479" s="72"/>
      <c r="L479" s="19" t="s">
        <v>52</v>
      </c>
      <c r="M479" s="67"/>
      <c r="N479" s="92"/>
      <c r="O479" s="93"/>
      <c r="P479" s="92"/>
      <c r="Q479" s="93"/>
      <c r="R479" s="92"/>
      <c r="S479" s="95"/>
      <c r="T479" s="33"/>
      <c r="U479" s="79"/>
      <c r="V479" s="82"/>
      <c r="W479" s="82"/>
      <c r="X479" s="82"/>
      <c r="Y479" s="85"/>
      <c r="Z479" s="35"/>
      <c r="AA479" s="30"/>
      <c r="AB479" s="30"/>
      <c r="AC479" s="105"/>
      <c r="AD479" s="106"/>
      <c r="AE479" s="103"/>
    </row>
    <row r="481" spans="1:31" ht="17.100000000000001" customHeight="1" thickBot="1" x14ac:dyDescent="0.3"/>
    <row r="482" spans="1:31" ht="17.100000000000001" customHeight="1" x14ac:dyDescent="0.25">
      <c r="A482" s="50">
        <v>46023</v>
      </c>
      <c r="B482" s="53"/>
      <c r="C482" s="55"/>
      <c r="D482" s="56"/>
      <c r="E482" s="57"/>
      <c r="F482" s="55"/>
      <c r="G482" s="57"/>
      <c r="H482" s="58"/>
      <c r="I482" s="26"/>
      <c r="J482" s="61"/>
      <c r="K482" s="64"/>
      <c r="L482" s="11"/>
      <c r="M482" s="53"/>
      <c r="N482" s="42"/>
      <c r="O482" s="43"/>
      <c r="P482" s="36"/>
      <c r="Q482" s="43"/>
      <c r="R482" s="36"/>
      <c r="S482" s="37"/>
      <c r="T482" s="76">
        <f t="shared" ref="T482" si="148">R482-P482</f>
        <v>0</v>
      </c>
      <c r="U482" s="77"/>
      <c r="V482" s="80"/>
      <c r="W482" s="80"/>
      <c r="X482" s="80"/>
      <c r="Y482" s="83"/>
      <c r="Z482" s="86"/>
      <c r="AA482" s="48"/>
      <c r="AB482" s="48"/>
      <c r="AC482" s="96"/>
      <c r="AD482" s="99"/>
      <c r="AE482" s="101"/>
    </row>
    <row r="483" spans="1:31" ht="17.100000000000001" customHeight="1" x14ac:dyDescent="0.25">
      <c r="A483" s="51"/>
      <c r="B483" s="54"/>
      <c r="C483" s="68"/>
      <c r="D483" s="69"/>
      <c r="E483" s="70"/>
      <c r="F483" s="68"/>
      <c r="G483" s="70"/>
      <c r="H483" s="59"/>
      <c r="I483" s="24"/>
      <c r="J483" s="62"/>
      <c r="K483" s="65"/>
      <c r="L483" s="17"/>
      <c r="M483" s="54"/>
      <c r="N483" s="44"/>
      <c r="O483" s="45"/>
      <c r="P483" s="38"/>
      <c r="Q483" s="45"/>
      <c r="R483" s="38"/>
      <c r="S483" s="39"/>
      <c r="T483" s="32"/>
      <c r="U483" s="78"/>
      <c r="V483" s="81"/>
      <c r="W483" s="81"/>
      <c r="X483" s="81"/>
      <c r="Y483" s="84"/>
      <c r="Z483" s="34"/>
      <c r="AA483" s="29"/>
      <c r="AB483" s="29"/>
      <c r="AC483" s="97"/>
      <c r="AD483" s="100"/>
      <c r="AE483" s="102"/>
    </row>
    <row r="484" spans="1:31" ht="17.100000000000001" customHeight="1" x14ac:dyDescent="0.25">
      <c r="A484" s="51"/>
      <c r="B484" s="66"/>
      <c r="C484" s="68"/>
      <c r="D484" s="69"/>
      <c r="E484" s="70"/>
      <c r="F484" s="68"/>
      <c r="G484" s="70"/>
      <c r="H484" s="59"/>
      <c r="I484" s="27"/>
      <c r="J484" s="63"/>
      <c r="K484" s="71"/>
      <c r="L484" s="18"/>
      <c r="M484" s="66"/>
      <c r="N484" s="46"/>
      <c r="O484" s="47"/>
      <c r="P484" s="40"/>
      <c r="Q484" s="47"/>
      <c r="R484" s="40"/>
      <c r="S484" s="41"/>
      <c r="T484" s="31">
        <f>(P485-P482)+(R482-R485)</f>
        <v>0</v>
      </c>
      <c r="U484" s="78"/>
      <c r="V484" s="81"/>
      <c r="W484" s="81"/>
      <c r="X484" s="81"/>
      <c r="Y484" s="84"/>
      <c r="Z484" s="87"/>
      <c r="AA484" s="49"/>
      <c r="AB484" s="49"/>
      <c r="AC484" s="98"/>
      <c r="AD484" s="104"/>
      <c r="AE484" s="102"/>
    </row>
    <row r="485" spans="1:31" ht="17.100000000000001" customHeight="1" x14ac:dyDescent="0.25">
      <c r="A485" s="51"/>
      <c r="B485" s="54"/>
      <c r="C485" s="68"/>
      <c r="D485" s="69"/>
      <c r="E485" s="70"/>
      <c r="F485" s="68"/>
      <c r="G485" s="70"/>
      <c r="H485" s="59"/>
      <c r="I485" s="23"/>
      <c r="J485" s="88"/>
      <c r="K485" s="65"/>
      <c r="L485" s="18"/>
      <c r="M485" s="54"/>
      <c r="N485" s="90">
        <f>(P482-N482)+(P485-P482)+(R482-R485)</f>
        <v>0</v>
      </c>
      <c r="O485" s="91"/>
      <c r="P485" s="90"/>
      <c r="Q485" s="91"/>
      <c r="R485" s="90"/>
      <c r="S485" s="94"/>
      <c r="T485" s="32"/>
      <c r="U485" s="78"/>
      <c r="V485" s="81"/>
      <c r="W485" s="81"/>
      <c r="X485" s="81"/>
      <c r="Y485" s="84"/>
      <c r="Z485" s="34"/>
      <c r="AA485" s="28"/>
      <c r="AB485" s="28"/>
      <c r="AC485" s="97"/>
      <c r="AD485" s="100"/>
      <c r="AE485" s="102"/>
    </row>
    <row r="486" spans="1:31" ht="17.100000000000001" customHeight="1" x14ac:dyDescent="0.25">
      <c r="A486" s="51"/>
      <c r="B486" s="66"/>
      <c r="C486" s="68"/>
      <c r="D486" s="69"/>
      <c r="E486" s="70"/>
      <c r="F486" s="68"/>
      <c r="G486" s="70"/>
      <c r="H486" s="59"/>
      <c r="I486" s="24"/>
      <c r="J486" s="62"/>
      <c r="K486" s="71" t="s">
        <v>51</v>
      </c>
      <c r="L486" s="16" t="s">
        <v>51</v>
      </c>
      <c r="M486" s="66" t="s">
        <v>51</v>
      </c>
      <c r="N486" s="38"/>
      <c r="O486" s="45"/>
      <c r="P486" s="38"/>
      <c r="Q486" s="45"/>
      <c r="R486" s="38"/>
      <c r="S486" s="39"/>
      <c r="T486" s="31">
        <f t="shared" ref="T486" si="149">R485-P485</f>
        <v>0</v>
      </c>
      <c r="U486" s="78"/>
      <c r="V486" s="81"/>
      <c r="W486" s="81"/>
      <c r="X486" s="81"/>
      <c r="Y486" s="84"/>
      <c r="Z486" s="34"/>
      <c r="AA486" s="29"/>
      <c r="AB486" s="29"/>
      <c r="AC486" s="97"/>
      <c r="AD486" s="104"/>
      <c r="AE486" s="102"/>
    </row>
    <row r="487" spans="1:31" ht="17.100000000000001" customHeight="1" thickBot="1" x14ac:dyDescent="0.3">
      <c r="A487" s="52"/>
      <c r="B487" s="67"/>
      <c r="C487" s="73"/>
      <c r="D487" s="74"/>
      <c r="E487" s="75"/>
      <c r="F487" s="73"/>
      <c r="G487" s="75"/>
      <c r="H487" s="60"/>
      <c r="I487" s="25"/>
      <c r="J487" s="89"/>
      <c r="K487" s="72"/>
      <c r="L487" s="19" t="s">
        <v>52</v>
      </c>
      <c r="M487" s="67"/>
      <c r="N487" s="92"/>
      <c r="O487" s="93"/>
      <c r="P487" s="92"/>
      <c r="Q487" s="93"/>
      <c r="R487" s="92"/>
      <c r="S487" s="95"/>
      <c r="T487" s="33"/>
      <c r="U487" s="79"/>
      <c r="V487" s="82"/>
      <c r="W487" s="82"/>
      <c r="X487" s="82"/>
      <c r="Y487" s="85"/>
      <c r="Z487" s="35"/>
      <c r="AA487" s="30"/>
      <c r="AB487" s="30"/>
      <c r="AC487" s="105"/>
      <c r="AD487" s="106"/>
      <c r="AE487" s="103"/>
    </row>
    <row r="488" spans="1:31" ht="17.100000000000001" customHeight="1" x14ac:dyDescent="0.25">
      <c r="A488" s="50">
        <v>46023</v>
      </c>
      <c r="B488" s="53"/>
      <c r="C488" s="55"/>
      <c r="D488" s="56"/>
      <c r="E488" s="57"/>
      <c r="F488" s="55"/>
      <c r="G488" s="57"/>
      <c r="H488" s="58"/>
      <c r="I488" s="26"/>
      <c r="J488" s="61"/>
      <c r="K488" s="64"/>
      <c r="L488" s="11"/>
      <c r="M488" s="53"/>
      <c r="N488" s="42"/>
      <c r="O488" s="43"/>
      <c r="P488" s="36"/>
      <c r="Q488" s="43"/>
      <c r="R488" s="36"/>
      <c r="S488" s="37"/>
      <c r="T488" s="76">
        <f t="shared" ref="T488" si="150">R488-P488</f>
        <v>0</v>
      </c>
      <c r="U488" s="77"/>
      <c r="V488" s="80"/>
      <c r="W488" s="80"/>
      <c r="X488" s="80"/>
      <c r="Y488" s="83"/>
      <c r="Z488" s="86"/>
      <c r="AA488" s="48"/>
      <c r="AB488" s="48"/>
      <c r="AC488" s="96"/>
      <c r="AD488" s="99"/>
      <c r="AE488" s="101"/>
    </row>
    <row r="489" spans="1:31" ht="17.100000000000001" customHeight="1" x14ac:dyDescent="0.25">
      <c r="A489" s="51"/>
      <c r="B489" s="54"/>
      <c r="C489" s="68"/>
      <c r="D489" s="69"/>
      <c r="E489" s="70"/>
      <c r="F489" s="68"/>
      <c r="G489" s="70"/>
      <c r="H489" s="59"/>
      <c r="I489" s="24"/>
      <c r="J489" s="62"/>
      <c r="K489" s="65"/>
      <c r="L489" s="17"/>
      <c r="M489" s="54"/>
      <c r="N489" s="44"/>
      <c r="O489" s="45"/>
      <c r="P489" s="38"/>
      <c r="Q489" s="45"/>
      <c r="R489" s="38"/>
      <c r="S489" s="39"/>
      <c r="T489" s="32"/>
      <c r="U489" s="78"/>
      <c r="V489" s="81"/>
      <c r="W489" s="81"/>
      <c r="X489" s="81"/>
      <c r="Y489" s="84"/>
      <c r="Z489" s="34"/>
      <c r="AA489" s="29"/>
      <c r="AB489" s="29"/>
      <c r="AC489" s="97"/>
      <c r="AD489" s="100"/>
      <c r="AE489" s="102"/>
    </row>
    <row r="490" spans="1:31" ht="17.100000000000001" customHeight="1" x14ac:dyDescent="0.25">
      <c r="A490" s="51"/>
      <c r="B490" s="66"/>
      <c r="C490" s="68"/>
      <c r="D490" s="69"/>
      <c r="E490" s="70"/>
      <c r="F490" s="68"/>
      <c r="G490" s="70"/>
      <c r="H490" s="59"/>
      <c r="I490" s="27"/>
      <c r="J490" s="63"/>
      <c r="K490" s="71"/>
      <c r="L490" s="18"/>
      <c r="M490" s="66"/>
      <c r="N490" s="46"/>
      <c r="O490" s="47"/>
      <c r="P490" s="40"/>
      <c r="Q490" s="47"/>
      <c r="R490" s="40"/>
      <c r="S490" s="41"/>
      <c r="T490" s="31">
        <f>(P491-P488)+(R488-R491)</f>
        <v>0</v>
      </c>
      <c r="U490" s="78"/>
      <c r="V490" s="81"/>
      <c r="W490" s="81"/>
      <c r="X490" s="81"/>
      <c r="Y490" s="84"/>
      <c r="Z490" s="87"/>
      <c r="AA490" s="49"/>
      <c r="AB490" s="49"/>
      <c r="AC490" s="98"/>
      <c r="AD490" s="104"/>
      <c r="AE490" s="102"/>
    </row>
    <row r="491" spans="1:31" ht="17.100000000000001" customHeight="1" x14ac:dyDescent="0.25">
      <c r="A491" s="51"/>
      <c r="B491" s="54"/>
      <c r="C491" s="68"/>
      <c r="D491" s="69"/>
      <c r="E491" s="70"/>
      <c r="F491" s="68"/>
      <c r="G491" s="70"/>
      <c r="H491" s="59"/>
      <c r="I491" s="23"/>
      <c r="J491" s="88"/>
      <c r="K491" s="65"/>
      <c r="L491" s="18"/>
      <c r="M491" s="54"/>
      <c r="N491" s="90">
        <f>(P488-N488)+(P491-P488)+(R488-R491)</f>
        <v>0</v>
      </c>
      <c r="O491" s="91"/>
      <c r="P491" s="90"/>
      <c r="Q491" s="91"/>
      <c r="R491" s="90"/>
      <c r="S491" s="94"/>
      <c r="T491" s="32"/>
      <c r="U491" s="78"/>
      <c r="V491" s="81"/>
      <c r="W491" s="81"/>
      <c r="X491" s="81"/>
      <c r="Y491" s="84"/>
      <c r="Z491" s="34"/>
      <c r="AA491" s="28"/>
      <c r="AB491" s="28"/>
      <c r="AC491" s="97"/>
      <c r="AD491" s="100"/>
      <c r="AE491" s="102"/>
    </row>
    <row r="492" spans="1:31" ht="17.100000000000001" customHeight="1" x14ac:dyDescent="0.25">
      <c r="A492" s="51"/>
      <c r="B492" s="66"/>
      <c r="C492" s="68"/>
      <c r="D492" s="69"/>
      <c r="E492" s="70"/>
      <c r="F492" s="68"/>
      <c r="G492" s="70"/>
      <c r="H492" s="59"/>
      <c r="I492" s="24"/>
      <c r="J492" s="62"/>
      <c r="K492" s="71" t="s">
        <v>51</v>
      </c>
      <c r="L492" s="16" t="s">
        <v>51</v>
      </c>
      <c r="M492" s="66" t="s">
        <v>51</v>
      </c>
      <c r="N492" s="38"/>
      <c r="O492" s="45"/>
      <c r="P492" s="38"/>
      <c r="Q492" s="45"/>
      <c r="R492" s="38"/>
      <c r="S492" s="39"/>
      <c r="T492" s="31">
        <f t="shared" ref="T492" si="151">R491-P491</f>
        <v>0</v>
      </c>
      <c r="U492" s="78"/>
      <c r="V492" s="81"/>
      <c r="W492" s="81"/>
      <c r="X492" s="81"/>
      <c r="Y492" s="84"/>
      <c r="Z492" s="34"/>
      <c r="AA492" s="29"/>
      <c r="AB492" s="29"/>
      <c r="AC492" s="97"/>
      <c r="AD492" s="104"/>
      <c r="AE492" s="102"/>
    </row>
    <row r="493" spans="1:31" ht="17.100000000000001" customHeight="1" thickBot="1" x14ac:dyDescent="0.3">
      <c r="A493" s="52"/>
      <c r="B493" s="67"/>
      <c r="C493" s="73"/>
      <c r="D493" s="74"/>
      <c r="E493" s="75"/>
      <c r="F493" s="73"/>
      <c r="G493" s="75"/>
      <c r="H493" s="60"/>
      <c r="I493" s="25"/>
      <c r="J493" s="89"/>
      <c r="K493" s="72"/>
      <c r="L493" s="19" t="s">
        <v>52</v>
      </c>
      <c r="M493" s="67"/>
      <c r="N493" s="92"/>
      <c r="O493" s="93"/>
      <c r="P493" s="92"/>
      <c r="Q493" s="93"/>
      <c r="R493" s="92"/>
      <c r="S493" s="95"/>
      <c r="T493" s="33"/>
      <c r="U493" s="79"/>
      <c r="V493" s="82"/>
      <c r="W493" s="82"/>
      <c r="X493" s="82"/>
      <c r="Y493" s="85"/>
      <c r="Z493" s="35"/>
      <c r="AA493" s="30"/>
      <c r="AB493" s="30"/>
      <c r="AC493" s="105"/>
      <c r="AD493" s="106"/>
      <c r="AE493" s="103"/>
    </row>
    <row r="494" spans="1:31" ht="17.100000000000001" customHeight="1" x14ac:dyDescent="0.25">
      <c r="A494" s="50">
        <v>46023</v>
      </c>
      <c r="B494" s="53"/>
      <c r="C494" s="55"/>
      <c r="D494" s="56"/>
      <c r="E494" s="57"/>
      <c r="F494" s="55"/>
      <c r="G494" s="57"/>
      <c r="H494" s="58"/>
      <c r="I494" s="26"/>
      <c r="J494" s="61"/>
      <c r="K494" s="64"/>
      <c r="L494" s="11"/>
      <c r="M494" s="53"/>
      <c r="N494" s="42"/>
      <c r="O494" s="43"/>
      <c r="P494" s="36"/>
      <c r="Q494" s="43"/>
      <c r="R494" s="36"/>
      <c r="S494" s="37"/>
      <c r="T494" s="76">
        <f t="shared" ref="T494" si="152">R494-P494</f>
        <v>0</v>
      </c>
      <c r="U494" s="77"/>
      <c r="V494" s="80"/>
      <c r="W494" s="80"/>
      <c r="X494" s="80"/>
      <c r="Y494" s="83"/>
      <c r="Z494" s="86"/>
      <c r="AA494" s="48"/>
      <c r="AB494" s="48"/>
      <c r="AC494" s="96"/>
      <c r="AD494" s="99"/>
      <c r="AE494" s="101"/>
    </row>
    <row r="495" spans="1:31" ht="17.100000000000001" customHeight="1" x14ac:dyDescent="0.25">
      <c r="A495" s="51"/>
      <c r="B495" s="54"/>
      <c r="C495" s="68"/>
      <c r="D495" s="69"/>
      <c r="E495" s="70"/>
      <c r="F495" s="68"/>
      <c r="G495" s="70"/>
      <c r="H495" s="59"/>
      <c r="I495" s="24"/>
      <c r="J495" s="62"/>
      <c r="K495" s="65"/>
      <c r="L495" s="17"/>
      <c r="M495" s="54"/>
      <c r="N495" s="44"/>
      <c r="O495" s="45"/>
      <c r="P495" s="38"/>
      <c r="Q495" s="45"/>
      <c r="R495" s="38"/>
      <c r="S495" s="39"/>
      <c r="T495" s="32"/>
      <c r="U495" s="78"/>
      <c r="V495" s="81"/>
      <c r="W495" s="81"/>
      <c r="X495" s="81"/>
      <c r="Y495" s="84"/>
      <c r="Z495" s="34"/>
      <c r="AA495" s="29"/>
      <c r="AB495" s="29"/>
      <c r="AC495" s="97"/>
      <c r="AD495" s="100"/>
      <c r="AE495" s="102"/>
    </row>
    <row r="496" spans="1:31" ht="17.100000000000001" customHeight="1" x14ac:dyDescent="0.25">
      <c r="A496" s="51"/>
      <c r="B496" s="66"/>
      <c r="C496" s="68"/>
      <c r="D496" s="69"/>
      <c r="E496" s="70"/>
      <c r="F496" s="68"/>
      <c r="G496" s="70"/>
      <c r="H496" s="59"/>
      <c r="I496" s="27"/>
      <c r="J496" s="63"/>
      <c r="K496" s="71"/>
      <c r="L496" s="18"/>
      <c r="M496" s="66"/>
      <c r="N496" s="46"/>
      <c r="O496" s="47"/>
      <c r="P496" s="40"/>
      <c r="Q496" s="47"/>
      <c r="R496" s="40"/>
      <c r="S496" s="41"/>
      <c r="T496" s="31">
        <f>(P497-P494)+(R494-R497)</f>
        <v>0</v>
      </c>
      <c r="U496" s="78"/>
      <c r="V496" s="81"/>
      <c r="W496" s="81"/>
      <c r="X496" s="81"/>
      <c r="Y496" s="84"/>
      <c r="Z496" s="87"/>
      <c r="AA496" s="49"/>
      <c r="AB496" s="49"/>
      <c r="AC496" s="98"/>
      <c r="AD496" s="104"/>
      <c r="AE496" s="102"/>
    </row>
    <row r="497" spans="1:31" ht="17.100000000000001" customHeight="1" x14ac:dyDescent="0.25">
      <c r="A497" s="51"/>
      <c r="B497" s="54"/>
      <c r="C497" s="68"/>
      <c r="D497" s="69"/>
      <c r="E497" s="70"/>
      <c r="F497" s="68"/>
      <c r="G497" s="70"/>
      <c r="H497" s="59"/>
      <c r="I497" s="23"/>
      <c r="J497" s="88"/>
      <c r="K497" s="65"/>
      <c r="L497" s="18"/>
      <c r="M497" s="54"/>
      <c r="N497" s="90">
        <f>(P494-N494)+(P497-P494)+(R494-R497)</f>
        <v>0</v>
      </c>
      <c r="O497" s="91"/>
      <c r="P497" s="90"/>
      <c r="Q497" s="91"/>
      <c r="R497" s="90"/>
      <c r="S497" s="94"/>
      <c r="T497" s="32"/>
      <c r="U497" s="78"/>
      <c r="V497" s="81"/>
      <c r="W497" s="81"/>
      <c r="X497" s="81"/>
      <c r="Y497" s="84"/>
      <c r="Z497" s="34"/>
      <c r="AA497" s="28"/>
      <c r="AB497" s="28"/>
      <c r="AC497" s="97"/>
      <c r="AD497" s="100"/>
      <c r="AE497" s="102"/>
    </row>
    <row r="498" spans="1:31" ht="17.100000000000001" customHeight="1" x14ac:dyDescent="0.25">
      <c r="A498" s="51"/>
      <c r="B498" s="66"/>
      <c r="C498" s="68"/>
      <c r="D498" s="69"/>
      <c r="E498" s="70"/>
      <c r="F498" s="68"/>
      <c r="G498" s="70"/>
      <c r="H498" s="59"/>
      <c r="I498" s="24"/>
      <c r="J498" s="62"/>
      <c r="K498" s="71" t="s">
        <v>51</v>
      </c>
      <c r="L498" s="16" t="s">
        <v>51</v>
      </c>
      <c r="M498" s="66" t="s">
        <v>51</v>
      </c>
      <c r="N498" s="38"/>
      <c r="O498" s="45"/>
      <c r="P498" s="38"/>
      <c r="Q498" s="45"/>
      <c r="R498" s="38"/>
      <c r="S498" s="39"/>
      <c r="T498" s="31">
        <f t="shared" ref="T498" si="153">R497-P497</f>
        <v>0</v>
      </c>
      <c r="U498" s="78"/>
      <c r="V498" s="81"/>
      <c r="W498" s="81"/>
      <c r="X498" s="81"/>
      <c r="Y498" s="84"/>
      <c r="Z498" s="34"/>
      <c r="AA498" s="29"/>
      <c r="AB498" s="29"/>
      <c r="AC498" s="97"/>
      <c r="AD498" s="104"/>
      <c r="AE498" s="102"/>
    </row>
    <row r="499" spans="1:31" ht="17.100000000000001" customHeight="1" thickBot="1" x14ac:dyDescent="0.3">
      <c r="A499" s="52"/>
      <c r="B499" s="67"/>
      <c r="C499" s="73"/>
      <c r="D499" s="74"/>
      <c r="E499" s="75"/>
      <c r="F499" s="73"/>
      <c r="G499" s="75"/>
      <c r="H499" s="60"/>
      <c r="I499" s="25"/>
      <c r="J499" s="89"/>
      <c r="K499" s="72"/>
      <c r="L499" s="19" t="s">
        <v>52</v>
      </c>
      <c r="M499" s="67"/>
      <c r="N499" s="92"/>
      <c r="O499" s="93"/>
      <c r="P499" s="92"/>
      <c r="Q499" s="93"/>
      <c r="R499" s="92"/>
      <c r="S499" s="95"/>
      <c r="T499" s="33"/>
      <c r="U499" s="79"/>
      <c r="V499" s="82"/>
      <c r="W499" s="82"/>
      <c r="X499" s="82"/>
      <c r="Y499" s="85"/>
      <c r="Z499" s="35"/>
      <c r="AA499" s="30"/>
      <c r="AB499" s="30"/>
      <c r="AC499" s="105"/>
      <c r="AD499" s="106"/>
      <c r="AE499" s="103"/>
    </row>
    <row r="500" spans="1:31" ht="17.100000000000001" customHeight="1" x14ac:dyDescent="0.25">
      <c r="A500" s="50">
        <v>46023</v>
      </c>
      <c r="B500" s="53"/>
      <c r="C500" s="55"/>
      <c r="D500" s="56"/>
      <c r="E500" s="57"/>
      <c r="F500" s="55"/>
      <c r="G500" s="57"/>
      <c r="H500" s="58"/>
      <c r="I500" s="26"/>
      <c r="J500" s="61"/>
      <c r="K500" s="64"/>
      <c r="L500" s="11"/>
      <c r="M500" s="53"/>
      <c r="N500" s="42"/>
      <c r="O500" s="43"/>
      <c r="P500" s="36"/>
      <c r="Q500" s="43"/>
      <c r="R500" s="36"/>
      <c r="S500" s="37"/>
      <c r="T500" s="76">
        <f t="shared" ref="T500" si="154">R500-P500</f>
        <v>0</v>
      </c>
      <c r="U500" s="77"/>
      <c r="V500" s="80"/>
      <c r="W500" s="80"/>
      <c r="X500" s="80"/>
      <c r="Y500" s="83"/>
      <c r="Z500" s="86"/>
      <c r="AA500" s="48"/>
      <c r="AB500" s="48"/>
      <c r="AC500" s="96"/>
      <c r="AD500" s="99"/>
      <c r="AE500" s="101"/>
    </row>
    <row r="501" spans="1:31" ht="17.100000000000001" customHeight="1" x14ac:dyDescent="0.25">
      <c r="A501" s="51"/>
      <c r="B501" s="54"/>
      <c r="C501" s="68"/>
      <c r="D501" s="69"/>
      <c r="E501" s="70"/>
      <c r="F501" s="68"/>
      <c r="G501" s="70"/>
      <c r="H501" s="59"/>
      <c r="I501" s="24"/>
      <c r="J501" s="62"/>
      <c r="K501" s="65"/>
      <c r="L501" s="17"/>
      <c r="M501" s="54"/>
      <c r="N501" s="44"/>
      <c r="O501" s="45"/>
      <c r="P501" s="38"/>
      <c r="Q501" s="45"/>
      <c r="R501" s="38"/>
      <c r="S501" s="39"/>
      <c r="T501" s="32"/>
      <c r="U501" s="78"/>
      <c r="V501" s="81"/>
      <c r="W501" s="81"/>
      <c r="X501" s="81"/>
      <c r="Y501" s="84"/>
      <c r="Z501" s="34"/>
      <c r="AA501" s="29"/>
      <c r="AB501" s="29"/>
      <c r="AC501" s="97"/>
      <c r="AD501" s="100"/>
      <c r="AE501" s="102"/>
    </row>
    <row r="502" spans="1:31" ht="17.100000000000001" customHeight="1" x14ac:dyDescent="0.25">
      <c r="A502" s="51"/>
      <c r="B502" s="66"/>
      <c r="C502" s="68"/>
      <c r="D502" s="69"/>
      <c r="E502" s="70"/>
      <c r="F502" s="68"/>
      <c r="G502" s="70"/>
      <c r="H502" s="59"/>
      <c r="I502" s="27"/>
      <c r="J502" s="63"/>
      <c r="K502" s="71"/>
      <c r="L502" s="18"/>
      <c r="M502" s="66"/>
      <c r="N502" s="46"/>
      <c r="O502" s="47"/>
      <c r="P502" s="40"/>
      <c r="Q502" s="47"/>
      <c r="R502" s="40"/>
      <c r="S502" s="41"/>
      <c r="T502" s="31">
        <f>(P503-P500)+(R500-R503)</f>
        <v>0</v>
      </c>
      <c r="U502" s="78"/>
      <c r="V502" s="81"/>
      <c r="W502" s="81"/>
      <c r="X502" s="81"/>
      <c r="Y502" s="84"/>
      <c r="Z502" s="87"/>
      <c r="AA502" s="49"/>
      <c r="AB502" s="49"/>
      <c r="AC502" s="98"/>
      <c r="AD502" s="104"/>
      <c r="AE502" s="102"/>
    </row>
    <row r="503" spans="1:31" ht="17.100000000000001" customHeight="1" x14ac:dyDescent="0.25">
      <c r="A503" s="51"/>
      <c r="B503" s="54"/>
      <c r="C503" s="68"/>
      <c r="D503" s="69"/>
      <c r="E503" s="70"/>
      <c r="F503" s="68"/>
      <c r="G503" s="70"/>
      <c r="H503" s="59"/>
      <c r="I503" s="23"/>
      <c r="J503" s="88"/>
      <c r="K503" s="65"/>
      <c r="L503" s="18"/>
      <c r="M503" s="54"/>
      <c r="N503" s="90">
        <f>(P500-N500)+(P503-P500)+(R500-R503)</f>
        <v>0</v>
      </c>
      <c r="O503" s="91"/>
      <c r="P503" s="90"/>
      <c r="Q503" s="91"/>
      <c r="R503" s="90"/>
      <c r="S503" s="94"/>
      <c r="T503" s="32"/>
      <c r="U503" s="78"/>
      <c r="V503" s="81"/>
      <c r="W503" s="81"/>
      <c r="X503" s="81"/>
      <c r="Y503" s="84"/>
      <c r="Z503" s="34"/>
      <c r="AA503" s="28"/>
      <c r="AB503" s="28"/>
      <c r="AC503" s="97"/>
      <c r="AD503" s="100"/>
      <c r="AE503" s="102"/>
    </row>
    <row r="504" spans="1:31" ht="17.100000000000001" customHeight="1" x14ac:dyDescent="0.25">
      <c r="A504" s="51"/>
      <c r="B504" s="66"/>
      <c r="C504" s="68"/>
      <c r="D504" s="69"/>
      <c r="E504" s="70"/>
      <c r="F504" s="68"/>
      <c r="G504" s="70"/>
      <c r="H504" s="59"/>
      <c r="I504" s="24"/>
      <c r="J504" s="62"/>
      <c r="K504" s="71" t="s">
        <v>51</v>
      </c>
      <c r="L504" s="16" t="s">
        <v>51</v>
      </c>
      <c r="M504" s="66" t="s">
        <v>51</v>
      </c>
      <c r="N504" s="38"/>
      <c r="O504" s="45"/>
      <c r="P504" s="38"/>
      <c r="Q504" s="45"/>
      <c r="R504" s="38"/>
      <c r="S504" s="39"/>
      <c r="T504" s="31">
        <f t="shared" ref="T504" si="155">R503-P503</f>
        <v>0</v>
      </c>
      <c r="U504" s="78"/>
      <c r="V504" s="81"/>
      <c r="W504" s="81"/>
      <c r="X504" s="81"/>
      <c r="Y504" s="84"/>
      <c r="Z504" s="34"/>
      <c r="AA504" s="29"/>
      <c r="AB504" s="29"/>
      <c r="AC504" s="97"/>
      <c r="AD504" s="104"/>
      <c r="AE504" s="102"/>
    </row>
    <row r="505" spans="1:31" ht="17.100000000000001" customHeight="1" thickBot="1" x14ac:dyDescent="0.3">
      <c r="A505" s="52"/>
      <c r="B505" s="67"/>
      <c r="C505" s="73"/>
      <c r="D505" s="74"/>
      <c r="E505" s="75"/>
      <c r="F505" s="73"/>
      <c r="G505" s="75"/>
      <c r="H505" s="60"/>
      <c r="I505" s="25"/>
      <c r="J505" s="89"/>
      <c r="K505" s="72"/>
      <c r="L505" s="19" t="s">
        <v>52</v>
      </c>
      <c r="M505" s="67"/>
      <c r="N505" s="92"/>
      <c r="O505" s="93"/>
      <c r="P505" s="92"/>
      <c r="Q505" s="93"/>
      <c r="R505" s="92"/>
      <c r="S505" s="95"/>
      <c r="T505" s="33"/>
      <c r="U505" s="79"/>
      <c r="V505" s="82"/>
      <c r="W505" s="82"/>
      <c r="X505" s="82"/>
      <c r="Y505" s="85"/>
      <c r="Z505" s="35"/>
      <c r="AA505" s="30"/>
      <c r="AB505" s="30"/>
      <c r="AC505" s="105"/>
      <c r="AD505" s="106"/>
      <c r="AE505" s="103"/>
    </row>
    <row r="506" spans="1:31" ht="17.100000000000001" customHeight="1" x14ac:dyDescent="0.25">
      <c r="A506" s="50">
        <v>46023</v>
      </c>
      <c r="B506" s="53"/>
      <c r="C506" s="55"/>
      <c r="D506" s="56"/>
      <c r="E506" s="57"/>
      <c r="F506" s="55"/>
      <c r="G506" s="57"/>
      <c r="H506" s="58"/>
      <c r="I506" s="26"/>
      <c r="J506" s="61"/>
      <c r="K506" s="64"/>
      <c r="L506" s="11"/>
      <c r="M506" s="53"/>
      <c r="N506" s="42"/>
      <c r="O506" s="43"/>
      <c r="P506" s="36"/>
      <c r="Q506" s="43"/>
      <c r="R506" s="36"/>
      <c r="S506" s="37"/>
      <c r="T506" s="76">
        <f t="shared" ref="T506" si="156">R506-P506</f>
        <v>0</v>
      </c>
      <c r="U506" s="77"/>
      <c r="V506" s="80"/>
      <c r="W506" s="80"/>
      <c r="X506" s="80"/>
      <c r="Y506" s="83"/>
      <c r="Z506" s="86"/>
      <c r="AA506" s="48"/>
      <c r="AB506" s="48"/>
      <c r="AC506" s="96"/>
      <c r="AD506" s="99"/>
      <c r="AE506" s="101"/>
    </row>
    <row r="507" spans="1:31" ht="17.100000000000001" customHeight="1" x14ac:dyDescent="0.25">
      <c r="A507" s="51"/>
      <c r="B507" s="54"/>
      <c r="C507" s="68"/>
      <c r="D507" s="69"/>
      <c r="E507" s="70"/>
      <c r="F507" s="68"/>
      <c r="G507" s="70"/>
      <c r="H507" s="59"/>
      <c r="I507" s="24"/>
      <c r="J507" s="62"/>
      <c r="K507" s="65"/>
      <c r="L507" s="17"/>
      <c r="M507" s="54"/>
      <c r="N507" s="44"/>
      <c r="O507" s="45"/>
      <c r="P507" s="38"/>
      <c r="Q507" s="45"/>
      <c r="R507" s="38"/>
      <c r="S507" s="39"/>
      <c r="T507" s="32"/>
      <c r="U507" s="78"/>
      <c r="V507" s="81"/>
      <c r="W507" s="81"/>
      <c r="X507" s="81"/>
      <c r="Y507" s="84"/>
      <c r="Z507" s="34"/>
      <c r="AA507" s="29"/>
      <c r="AB507" s="29"/>
      <c r="AC507" s="97"/>
      <c r="AD507" s="100"/>
      <c r="AE507" s="102"/>
    </row>
    <row r="508" spans="1:31" ht="17.100000000000001" customHeight="1" x14ac:dyDescent="0.25">
      <c r="A508" s="51"/>
      <c r="B508" s="66"/>
      <c r="C508" s="68"/>
      <c r="D508" s="69"/>
      <c r="E508" s="70"/>
      <c r="F508" s="68"/>
      <c r="G508" s="70"/>
      <c r="H508" s="59"/>
      <c r="I508" s="27"/>
      <c r="J508" s="63"/>
      <c r="K508" s="71"/>
      <c r="L508" s="18"/>
      <c r="M508" s="66"/>
      <c r="N508" s="46"/>
      <c r="O508" s="47"/>
      <c r="P508" s="40"/>
      <c r="Q508" s="47"/>
      <c r="R508" s="40"/>
      <c r="S508" s="41"/>
      <c r="T508" s="31">
        <f>(P509-P506)+(R506-R509)</f>
        <v>0</v>
      </c>
      <c r="U508" s="78"/>
      <c r="V508" s="81"/>
      <c r="W508" s="81"/>
      <c r="X508" s="81"/>
      <c r="Y508" s="84"/>
      <c r="Z508" s="87"/>
      <c r="AA508" s="49"/>
      <c r="AB508" s="49"/>
      <c r="AC508" s="98"/>
      <c r="AD508" s="104"/>
      <c r="AE508" s="102"/>
    </row>
    <row r="509" spans="1:31" ht="17.100000000000001" customHeight="1" x14ac:dyDescent="0.25">
      <c r="A509" s="51"/>
      <c r="B509" s="54"/>
      <c r="C509" s="68"/>
      <c r="D509" s="69"/>
      <c r="E509" s="70"/>
      <c r="F509" s="68"/>
      <c r="G509" s="70"/>
      <c r="H509" s="59"/>
      <c r="I509" s="23"/>
      <c r="J509" s="88"/>
      <c r="K509" s="65"/>
      <c r="L509" s="18"/>
      <c r="M509" s="54"/>
      <c r="N509" s="90">
        <f>(P506-N506)+(P509-P506)+(R506-R509)</f>
        <v>0</v>
      </c>
      <c r="O509" s="91"/>
      <c r="P509" s="90"/>
      <c r="Q509" s="91"/>
      <c r="R509" s="90"/>
      <c r="S509" s="94"/>
      <c r="T509" s="32"/>
      <c r="U509" s="78"/>
      <c r="V509" s="81"/>
      <c r="W509" s="81"/>
      <c r="X509" s="81"/>
      <c r="Y509" s="84"/>
      <c r="Z509" s="34"/>
      <c r="AA509" s="28"/>
      <c r="AB509" s="28"/>
      <c r="AC509" s="97"/>
      <c r="AD509" s="100"/>
      <c r="AE509" s="102"/>
    </row>
    <row r="510" spans="1:31" ht="17.100000000000001" customHeight="1" x14ac:dyDescent="0.25">
      <c r="A510" s="51"/>
      <c r="B510" s="66"/>
      <c r="C510" s="68"/>
      <c r="D510" s="69"/>
      <c r="E510" s="70"/>
      <c r="F510" s="68"/>
      <c r="G510" s="70"/>
      <c r="H510" s="59"/>
      <c r="I510" s="24"/>
      <c r="J510" s="62"/>
      <c r="K510" s="71" t="s">
        <v>51</v>
      </c>
      <c r="L510" s="16" t="s">
        <v>51</v>
      </c>
      <c r="M510" s="66" t="s">
        <v>51</v>
      </c>
      <c r="N510" s="38"/>
      <c r="O510" s="45"/>
      <c r="P510" s="38"/>
      <c r="Q510" s="45"/>
      <c r="R510" s="38"/>
      <c r="S510" s="39"/>
      <c r="T510" s="31">
        <f t="shared" ref="T510" si="157">R509-P509</f>
        <v>0</v>
      </c>
      <c r="U510" s="78"/>
      <c r="V510" s="81"/>
      <c r="W510" s="81"/>
      <c r="X510" s="81"/>
      <c r="Y510" s="84"/>
      <c r="Z510" s="34"/>
      <c r="AA510" s="29"/>
      <c r="AB510" s="29"/>
      <c r="AC510" s="97"/>
      <c r="AD510" s="104"/>
      <c r="AE510" s="102"/>
    </row>
    <row r="511" spans="1:31" ht="17.100000000000001" customHeight="1" thickBot="1" x14ac:dyDescent="0.3">
      <c r="A511" s="52"/>
      <c r="B511" s="67"/>
      <c r="C511" s="73"/>
      <c r="D511" s="74"/>
      <c r="E511" s="75"/>
      <c r="F511" s="73"/>
      <c r="G511" s="75"/>
      <c r="H511" s="60"/>
      <c r="I511" s="25"/>
      <c r="J511" s="89"/>
      <c r="K511" s="72"/>
      <c r="L511" s="19" t="s">
        <v>52</v>
      </c>
      <c r="M511" s="67"/>
      <c r="N511" s="92"/>
      <c r="O511" s="93"/>
      <c r="P511" s="92"/>
      <c r="Q511" s="93"/>
      <c r="R511" s="92"/>
      <c r="S511" s="95"/>
      <c r="T511" s="33"/>
      <c r="U511" s="79"/>
      <c r="V511" s="82"/>
      <c r="W511" s="82"/>
      <c r="X511" s="82"/>
      <c r="Y511" s="85"/>
      <c r="Z511" s="35"/>
      <c r="AA511" s="30"/>
      <c r="AB511" s="30"/>
      <c r="AC511" s="105"/>
      <c r="AD511" s="106"/>
      <c r="AE511" s="103"/>
    </row>
    <row r="513" spans="1:31" ht="17.100000000000001" customHeight="1" thickBot="1" x14ac:dyDescent="0.3"/>
    <row r="514" spans="1:31" ht="17.100000000000001" customHeight="1" x14ac:dyDescent="0.25">
      <c r="A514" s="50">
        <v>46023</v>
      </c>
      <c r="B514" s="53"/>
      <c r="C514" s="55"/>
      <c r="D514" s="56"/>
      <c r="E514" s="57"/>
      <c r="F514" s="55"/>
      <c r="G514" s="57"/>
      <c r="H514" s="58"/>
      <c r="I514" s="26"/>
      <c r="J514" s="61"/>
      <c r="K514" s="64"/>
      <c r="L514" s="11"/>
      <c r="M514" s="53"/>
      <c r="N514" s="42"/>
      <c r="O514" s="43"/>
      <c r="P514" s="36"/>
      <c r="Q514" s="43"/>
      <c r="R514" s="36"/>
      <c r="S514" s="37"/>
      <c r="T514" s="76">
        <f t="shared" ref="T514" si="158">R514-P514</f>
        <v>0</v>
      </c>
      <c r="U514" s="77"/>
      <c r="V514" s="80"/>
      <c r="W514" s="80"/>
      <c r="X514" s="80"/>
      <c r="Y514" s="83"/>
      <c r="Z514" s="86"/>
      <c r="AA514" s="48"/>
      <c r="AB514" s="48"/>
      <c r="AC514" s="96"/>
      <c r="AD514" s="99"/>
      <c r="AE514" s="101"/>
    </row>
    <row r="515" spans="1:31" ht="17.100000000000001" customHeight="1" x14ac:dyDescent="0.25">
      <c r="A515" s="51"/>
      <c r="B515" s="54"/>
      <c r="C515" s="68"/>
      <c r="D515" s="69"/>
      <c r="E515" s="70"/>
      <c r="F515" s="68"/>
      <c r="G515" s="70"/>
      <c r="H515" s="59"/>
      <c r="I515" s="24"/>
      <c r="J515" s="62"/>
      <c r="K515" s="65"/>
      <c r="L515" s="17"/>
      <c r="M515" s="54"/>
      <c r="N515" s="44"/>
      <c r="O515" s="45"/>
      <c r="P515" s="38"/>
      <c r="Q515" s="45"/>
      <c r="R515" s="38"/>
      <c r="S515" s="39"/>
      <c r="T515" s="32"/>
      <c r="U515" s="78"/>
      <c r="V515" s="81"/>
      <c r="W515" s="81"/>
      <c r="X515" s="81"/>
      <c r="Y515" s="84"/>
      <c r="Z515" s="34"/>
      <c r="AA515" s="29"/>
      <c r="AB515" s="29"/>
      <c r="AC515" s="97"/>
      <c r="AD515" s="100"/>
      <c r="AE515" s="102"/>
    </row>
    <row r="516" spans="1:31" ht="17.100000000000001" customHeight="1" x14ac:dyDescent="0.25">
      <c r="A516" s="51"/>
      <c r="B516" s="66"/>
      <c r="C516" s="68"/>
      <c r="D516" s="69"/>
      <c r="E516" s="70"/>
      <c r="F516" s="68"/>
      <c r="G516" s="70"/>
      <c r="H516" s="59"/>
      <c r="I516" s="27"/>
      <c r="J516" s="63"/>
      <c r="K516" s="71"/>
      <c r="L516" s="18"/>
      <c r="M516" s="66"/>
      <c r="N516" s="46"/>
      <c r="O516" s="47"/>
      <c r="P516" s="40"/>
      <c r="Q516" s="47"/>
      <c r="R516" s="40"/>
      <c r="S516" s="41"/>
      <c r="T516" s="31">
        <f>(P517-P514)+(R514-R517)</f>
        <v>0</v>
      </c>
      <c r="U516" s="78"/>
      <c r="V516" s="81"/>
      <c r="W516" s="81"/>
      <c r="X516" s="81"/>
      <c r="Y516" s="84"/>
      <c r="Z516" s="87"/>
      <c r="AA516" s="49"/>
      <c r="AB516" s="49"/>
      <c r="AC516" s="98"/>
      <c r="AD516" s="104"/>
      <c r="AE516" s="102"/>
    </row>
    <row r="517" spans="1:31" ht="17.100000000000001" customHeight="1" x14ac:dyDescent="0.25">
      <c r="A517" s="51"/>
      <c r="B517" s="54"/>
      <c r="C517" s="68"/>
      <c r="D517" s="69"/>
      <c r="E517" s="70"/>
      <c r="F517" s="68"/>
      <c r="G517" s="70"/>
      <c r="H517" s="59"/>
      <c r="I517" s="23"/>
      <c r="J517" s="88"/>
      <c r="K517" s="65"/>
      <c r="L517" s="18"/>
      <c r="M517" s="54"/>
      <c r="N517" s="90">
        <f>(P514-N514)+(P517-P514)+(R514-R517)</f>
        <v>0</v>
      </c>
      <c r="O517" s="91"/>
      <c r="P517" s="90"/>
      <c r="Q517" s="91"/>
      <c r="R517" s="90"/>
      <c r="S517" s="94"/>
      <c r="T517" s="32"/>
      <c r="U517" s="78"/>
      <c r="V517" s="81"/>
      <c r="W517" s="81"/>
      <c r="X517" s="81"/>
      <c r="Y517" s="84"/>
      <c r="Z517" s="34"/>
      <c r="AA517" s="28"/>
      <c r="AB517" s="28"/>
      <c r="AC517" s="97"/>
      <c r="AD517" s="100"/>
      <c r="AE517" s="102"/>
    </row>
    <row r="518" spans="1:31" ht="17.100000000000001" customHeight="1" x14ac:dyDescent="0.25">
      <c r="A518" s="51"/>
      <c r="B518" s="66"/>
      <c r="C518" s="68"/>
      <c r="D518" s="69"/>
      <c r="E518" s="70"/>
      <c r="F518" s="68"/>
      <c r="G518" s="70"/>
      <c r="H518" s="59"/>
      <c r="I518" s="24"/>
      <c r="J518" s="62"/>
      <c r="K518" s="71" t="s">
        <v>51</v>
      </c>
      <c r="L518" s="16" t="s">
        <v>51</v>
      </c>
      <c r="M518" s="66" t="s">
        <v>51</v>
      </c>
      <c r="N518" s="38"/>
      <c r="O518" s="45"/>
      <c r="P518" s="38"/>
      <c r="Q518" s="45"/>
      <c r="R518" s="38"/>
      <c r="S518" s="39"/>
      <c r="T518" s="31">
        <f t="shared" ref="T518" si="159">R517-P517</f>
        <v>0</v>
      </c>
      <c r="U518" s="78"/>
      <c r="V518" s="81"/>
      <c r="W518" s="81"/>
      <c r="X518" s="81"/>
      <c r="Y518" s="84"/>
      <c r="Z518" s="34"/>
      <c r="AA518" s="29"/>
      <c r="AB518" s="29"/>
      <c r="AC518" s="97"/>
      <c r="AD518" s="104"/>
      <c r="AE518" s="102"/>
    </row>
    <row r="519" spans="1:31" ht="17.100000000000001" customHeight="1" thickBot="1" x14ac:dyDescent="0.3">
      <c r="A519" s="52"/>
      <c r="B519" s="67"/>
      <c r="C519" s="73"/>
      <c r="D519" s="74"/>
      <c r="E519" s="75"/>
      <c r="F519" s="73"/>
      <c r="G519" s="75"/>
      <c r="H519" s="60"/>
      <c r="I519" s="25"/>
      <c r="J519" s="89"/>
      <c r="K519" s="72"/>
      <c r="L519" s="19" t="s">
        <v>52</v>
      </c>
      <c r="M519" s="67"/>
      <c r="N519" s="92"/>
      <c r="O519" s="93"/>
      <c r="P519" s="92"/>
      <c r="Q519" s="93"/>
      <c r="R519" s="92"/>
      <c r="S519" s="95"/>
      <c r="T519" s="33"/>
      <c r="U519" s="79"/>
      <c r="V519" s="82"/>
      <c r="W519" s="82"/>
      <c r="X519" s="82"/>
      <c r="Y519" s="85"/>
      <c r="Z519" s="35"/>
      <c r="AA519" s="30"/>
      <c r="AB519" s="30"/>
      <c r="AC519" s="105"/>
      <c r="AD519" s="106"/>
      <c r="AE519" s="103"/>
    </row>
    <row r="520" spans="1:31" ht="17.100000000000001" customHeight="1" x14ac:dyDescent="0.25">
      <c r="A520" s="50">
        <v>46023</v>
      </c>
      <c r="B520" s="53"/>
      <c r="C520" s="55"/>
      <c r="D520" s="56"/>
      <c r="E520" s="57"/>
      <c r="F520" s="55"/>
      <c r="G520" s="57"/>
      <c r="H520" s="58"/>
      <c r="I520" s="26"/>
      <c r="J520" s="61"/>
      <c r="K520" s="64"/>
      <c r="L520" s="11"/>
      <c r="M520" s="53"/>
      <c r="N520" s="42"/>
      <c r="O520" s="43"/>
      <c r="P520" s="36"/>
      <c r="Q520" s="43"/>
      <c r="R520" s="36"/>
      <c r="S520" s="37"/>
      <c r="T520" s="76">
        <f t="shared" ref="T520" si="160">R520-P520</f>
        <v>0</v>
      </c>
      <c r="U520" s="77"/>
      <c r="V520" s="80"/>
      <c r="W520" s="80"/>
      <c r="X520" s="80"/>
      <c r="Y520" s="83"/>
      <c r="Z520" s="86"/>
      <c r="AA520" s="48"/>
      <c r="AB520" s="48"/>
      <c r="AC520" s="96"/>
      <c r="AD520" s="99"/>
      <c r="AE520" s="101"/>
    </row>
    <row r="521" spans="1:31" ht="17.100000000000001" customHeight="1" x14ac:dyDescent="0.25">
      <c r="A521" s="51"/>
      <c r="B521" s="54"/>
      <c r="C521" s="68"/>
      <c r="D521" s="69"/>
      <c r="E521" s="70"/>
      <c r="F521" s="68"/>
      <c r="G521" s="70"/>
      <c r="H521" s="59"/>
      <c r="I521" s="24"/>
      <c r="J521" s="62"/>
      <c r="K521" s="65"/>
      <c r="L521" s="17"/>
      <c r="M521" s="54"/>
      <c r="N521" s="44"/>
      <c r="O521" s="45"/>
      <c r="P521" s="38"/>
      <c r="Q521" s="45"/>
      <c r="R521" s="38"/>
      <c r="S521" s="39"/>
      <c r="T521" s="32"/>
      <c r="U521" s="78"/>
      <c r="V521" s="81"/>
      <c r="W521" s="81"/>
      <c r="X521" s="81"/>
      <c r="Y521" s="84"/>
      <c r="Z521" s="34"/>
      <c r="AA521" s="29"/>
      <c r="AB521" s="29"/>
      <c r="AC521" s="97"/>
      <c r="AD521" s="100"/>
      <c r="AE521" s="102"/>
    </row>
    <row r="522" spans="1:31" ht="17.100000000000001" customHeight="1" x14ac:dyDescent="0.25">
      <c r="A522" s="51"/>
      <c r="B522" s="66"/>
      <c r="C522" s="68"/>
      <c r="D522" s="69"/>
      <c r="E522" s="70"/>
      <c r="F522" s="68"/>
      <c r="G522" s="70"/>
      <c r="H522" s="59"/>
      <c r="I522" s="27"/>
      <c r="J522" s="63"/>
      <c r="K522" s="71"/>
      <c r="L522" s="18"/>
      <c r="M522" s="66"/>
      <c r="N522" s="46"/>
      <c r="O522" s="47"/>
      <c r="P522" s="40"/>
      <c r="Q522" s="47"/>
      <c r="R522" s="40"/>
      <c r="S522" s="41"/>
      <c r="T522" s="31">
        <f>(P523-P520)+(R520-R523)</f>
        <v>0</v>
      </c>
      <c r="U522" s="78"/>
      <c r="V522" s="81"/>
      <c r="W522" s="81"/>
      <c r="X522" s="81"/>
      <c r="Y522" s="84"/>
      <c r="Z522" s="87"/>
      <c r="AA522" s="49"/>
      <c r="AB522" s="49"/>
      <c r="AC522" s="98"/>
      <c r="AD522" s="104"/>
      <c r="AE522" s="102"/>
    </row>
    <row r="523" spans="1:31" ht="17.100000000000001" customHeight="1" x14ac:dyDescent="0.25">
      <c r="A523" s="51"/>
      <c r="B523" s="54"/>
      <c r="C523" s="68"/>
      <c r="D523" s="69"/>
      <c r="E523" s="70"/>
      <c r="F523" s="68"/>
      <c r="G523" s="70"/>
      <c r="H523" s="59"/>
      <c r="I523" s="23"/>
      <c r="J523" s="88"/>
      <c r="K523" s="65"/>
      <c r="L523" s="18"/>
      <c r="M523" s="54"/>
      <c r="N523" s="90">
        <f>(P520-N520)+(P523-P520)+(R520-R523)</f>
        <v>0</v>
      </c>
      <c r="O523" s="91"/>
      <c r="P523" s="90"/>
      <c r="Q523" s="91"/>
      <c r="R523" s="90"/>
      <c r="S523" s="94"/>
      <c r="T523" s="32"/>
      <c r="U523" s="78"/>
      <c r="V523" s="81"/>
      <c r="W523" s="81"/>
      <c r="X523" s="81"/>
      <c r="Y523" s="84"/>
      <c r="Z523" s="34"/>
      <c r="AA523" s="28"/>
      <c r="AB523" s="28"/>
      <c r="AC523" s="97"/>
      <c r="AD523" s="100"/>
      <c r="AE523" s="102"/>
    </row>
    <row r="524" spans="1:31" ht="17.100000000000001" customHeight="1" x14ac:dyDescent="0.25">
      <c r="A524" s="51"/>
      <c r="B524" s="66"/>
      <c r="C524" s="68"/>
      <c r="D524" s="69"/>
      <c r="E524" s="70"/>
      <c r="F524" s="68"/>
      <c r="G524" s="70"/>
      <c r="H524" s="59"/>
      <c r="I524" s="24"/>
      <c r="J524" s="62"/>
      <c r="K524" s="71" t="s">
        <v>51</v>
      </c>
      <c r="L524" s="16" t="s">
        <v>51</v>
      </c>
      <c r="M524" s="66" t="s">
        <v>51</v>
      </c>
      <c r="N524" s="38"/>
      <c r="O524" s="45"/>
      <c r="P524" s="38"/>
      <c r="Q524" s="45"/>
      <c r="R524" s="38"/>
      <c r="S524" s="39"/>
      <c r="T524" s="31">
        <f t="shared" ref="T524" si="161">R523-P523</f>
        <v>0</v>
      </c>
      <c r="U524" s="78"/>
      <c r="V524" s="81"/>
      <c r="W524" s="81"/>
      <c r="X524" s="81"/>
      <c r="Y524" s="84"/>
      <c r="Z524" s="34"/>
      <c r="AA524" s="29"/>
      <c r="AB524" s="29"/>
      <c r="AC524" s="97"/>
      <c r="AD524" s="104"/>
      <c r="AE524" s="102"/>
    </row>
    <row r="525" spans="1:31" ht="17.100000000000001" customHeight="1" thickBot="1" x14ac:dyDescent="0.3">
      <c r="A525" s="52"/>
      <c r="B525" s="67"/>
      <c r="C525" s="73"/>
      <c r="D525" s="74"/>
      <c r="E525" s="75"/>
      <c r="F525" s="73"/>
      <c r="G525" s="75"/>
      <c r="H525" s="60"/>
      <c r="I525" s="25"/>
      <c r="J525" s="89"/>
      <c r="K525" s="72"/>
      <c r="L525" s="19" t="s">
        <v>52</v>
      </c>
      <c r="M525" s="67"/>
      <c r="N525" s="92"/>
      <c r="O525" s="93"/>
      <c r="P525" s="92"/>
      <c r="Q525" s="93"/>
      <c r="R525" s="92"/>
      <c r="S525" s="95"/>
      <c r="T525" s="33"/>
      <c r="U525" s="79"/>
      <c r="V525" s="82"/>
      <c r="W525" s="82"/>
      <c r="X525" s="82"/>
      <c r="Y525" s="85"/>
      <c r="Z525" s="35"/>
      <c r="AA525" s="30"/>
      <c r="AB525" s="30"/>
      <c r="AC525" s="105"/>
      <c r="AD525" s="106"/>
      <c r="AE525" s="103"/>
    </row>
    <row r="526" spans="1:31" ht="17.100000000000001" customHeight="1" x14ac:dyDescent="0.25">
      <c r="A526" s="50">
        <v>46023</v>
      </c>
      <c r="B526" s="53"/>
      <c r="C526" s="55"/>
      <c r="D526" s="56"/>
      <c r="E526" s="57"/>
      <c r="F526" s="55"/>
      <c r="G526" s="57"/>
      <c r="H526" s="58"/>
      <c r="I526" s="26"/>
      <c r="J526" s="61"/>
      <c r="K526" s="64"/>
      <c r="L526" s="11"/>
      <c r="M526" s="53"/>
      <c r="N526" s="42"/>
      <c r="O526" s="43"/>
      <c r="P526" s="36"/>
      <c r="Q526" s="43"/>
      <c r="R526" s="36"/>
      <c r="S526" s="37"/>
      <c r="T526" s="76">
        <f t="shared" ref="T526" si="162">R526-P526</f>
        <v>0</v>
      </c>
      <c r="U526" s="77"/>
      <c r="V526" s="80"/>
      <c r="W526" s="80"/>
      <c r="X526" s="80"/>
      <c r="Y526" s="83"/>
      <c r="Z526" s="86"/>
      <c r="AA526" s="48"/>
      <c r="AB526" s="48"/>
      <c r="AC526" s="96"/>
      <c r="AD526" s="99"/>
      <c r="AE526" s="101"/>
    </row>
    <row r="527" spans="1:31" ht="17.100000000000001" customHeight="1" x14ac:dyDescent="0.25">
      <c r="A527" s="51"/>
      <c r="B527" s="54"/>
      <c r="C527" s="68"/>
      <c r="D527" s="69"/>
      <c r="E527" s="70"/>
      <c r="F527" s="68"/>
      <c r="G527" s="70"/>
      <c r="H527" s="59"/>
      <c r="I527" s="24"/>
      <c r="J527" s="62"/>
      <c r="K527" s="65"/>
      <c r="L527" s="17"/>
      <c r="M527" s="54"/>
      <c r="N527" s="44"/>
      <c r="O527" s="45"/>
      <c r="P527" s="38"/>
      <c r="Q527" s="45"/>
      <c r="R527" s="38"/>
      <c r="S527" s="39"/>
      <c r="T527" s="32"/>
      <c r="U527" s="78"/>
      <c r="V527" s="81"/>
      <c r="W527" s="81"/>
      <c r="X527" s="81"/>
      <c r="Y527" s="84"/>
      <c r="Z527" s="34"/>
      <c r="AA527" s="29"/>
      <c r="AB527" s="29"/>
      <c r="AC527" s="97"/>
      <c r="AD527" s="100"/>
      <c r="AE527" s="102"/>
    </row>
    <row r="528" spans="1:31" ht="17.100000000000001" customHeight="1" x14ac:dyDescent="0.25">
      <c r="A528" s="51"/>
      <c r="B528" s="66"/>
      <c r="C528" s="68"/>
      <c r="D528" s="69"/>
      <c r="E528" s="70"/>
      <c r="F528" s="68"/>
      <c r="G528" s="70"/>
      <c r="H528" s="59"/>
      <c r="I528" s="27"/>
      <c r="J528" s="63"/>
      <c r="K528" s="71"/>
      <c r="L528" s="18"/>
      <c r="M528" s="66"/>
      <c r="N528" s="46"/>
      <c r="O528" s="47"/>
      <c r="P528" s="40"/>
      <c r="Q528" s="47"/>
      <c r="R528" s="40"/>
      <c r="S528" s="41"/>
      <c r="T528" s="31">
        <f>(P529-P526)+(R526-R529)</f>
        <v>0</v>
      </c>
      <c r="U528" s="78"/>
      <c r="V528" s="81"/>
      <c r="W528" s="81"/>
      <c r="X528" s="81"/>
      <c r="Y528" s="84"/>
      <c r="Z528" s="87"/>
      <c r="AA528" s="49"/>
      <c r="AB528" s="49"/>
      <c r="AC528" s="98"/>
      <c r="AD528" s="104"/>
      <c r="AE528" s="102"/>
    </row>
    <row r="529" spans="1:31" ht="17.100000000000001" customHeight="1" x14ac:dyDescent="0.25">
      <c r="A529" s="51"/>
      <c r="B529" s="54"/>
      <c r="C529" s="68"/>
      <c r="D529" s="69"/>
      <c r="E529" s="70"/>
      <c r="F529" s="68"/>
      <c r="G529" s="70"/>
      <c r="H529" s="59"/>
      <c r="I529" s="23"/>
      <c r="J529" s="88"/>
      <c r="K529" s="65"/>
      <c r="L529" s="18"/>
      <c r="M529" s="54"/>
      <c r="N529" s="90">
        <f>(P526-N526)+(P529-P526)+(R526-R529)</f>
        <v>0</v>
      </c>
      <c r="O529" s="91"/>
      <c r="P529" s="90"/>
      <c r="Q529" s="91"/>
      <c r="R529" s="90"/>
      <c r="S529" s="94"/>
      <c r="T529" s="32"/>
      <c r="U529" s="78"/>
      <c r="V529" s="81"/>
      <c r="W529" s="81"/>
      <c r="X529" s="81"/>
      <c r="Y529" s="84"/>
      <c r="Z529" s="34"/>
      <c r="AA529" s="28"/>
      <c r="AB529" s="28"/>
      <c r="AC529" s="97"/>
      <c r="AD529" s="100"/>
      <c r="AE529" s="102"/>
    </row>
    <row r="530" spans="1:31" ht="17.100000000000001" customHeight="1" x14ac:dyDescent="0.25">
      <c r="A530" s="51"/>
      <c r="B530" s="66"/>
      <c r="C530" s="68"/>
      <c r="D530" s="69"/>
      <c r="E530" s="70"/>
      <c r="F530" s="68"/>
      <c r="G530" s="70"/>
      <c r="H530" s="59"/>
      <c r="I530" s="24"/>
      <c r="J530" s="62"/>
      <c r="K530" s="71" t="s">
        <v>51</v>
      </c>
      <c r="L530" s="16" t="s">
        <v>51</v>
      </c>
      <c r="M530" s="66" t="s">
        <v>51</v>
      </c>
      <c r="N530" s="38"/>
      <c r="O530" s="45"/>
      <c r="P530" s="38"/>
      <c r="Q530" s="45"/>
      <c r="R530" s="38"/>
      <c r="S530" s="39"/>
      <c r="T530" s="31">
        <f t="shared" ref="T530" si="163">R529-P529</f>
        <v>0</v>
      </c>
      <c r="U530" s="78"/>
      <c r="V530" s="81"/>
      <c r="W530" s="81"/>
      <c r="X530" s="81"/>
      <c r="Y530" s="84"/>
      <c r="Z530" s="34"/>
      <c r="AA530" s="29"/>
      <c r="AB530" s="29"/>
      <c r="AC530" s="97"/>
      <c r="AD530" s="104"/>
      <c r="AE530" s="102"/>
    </row>
    <row r="531" spans="1:31" ht="17.100000000000001" customHeight="1" thickBot="1" x14ac:dyDescent="0.3">
      <c r="A531" s="52"/>
      <c r="B531" s="67"/>
      <c r="C531" s="73"/>
      <c r="D531" s="74"/>
      <c r="E531" s="75"/>
      <c r="F531" s="73"/>
      <c r="G531" s="75"/>
      <c r="H531" s="60"/>
      <c r="I531" s="25"/>
      <c r="J531" s="89"/>
      <c r="K531" s="72"/>
      <c r="L531" s="19" t="s">
        <v>52</v>
      </c>
      <c r="M531" s="67"/>
      <c r="N531" s="92"/>
      <c r="O531" s="93"/>
      <c r="P531" s="92"/>
      <c r="Q531" s="93"/>
      <c r="R531" s="92"/>
      <c r="S531" s="95"/>
      <c r="T531" s="33"/>
      <c r="U531" s="79"/>
      <c r="V531" s="82"/>
      <c r="W531" s="82"/>
      <c r="X531" s="82"/>
      <c r="Y531" s="85"/>
      <c r="Z531" s="35"/>
      <c r="AA531" s="30"/>
      <c r="AB531" s="30"/>
      <c r="AC531" s="105"/>
      <c r="AD531" s="106"/>
      <c r="AE531" s="103"/>
    </row>
    <row r="532" spans="1:31" ht="17.100000000000001" customHeight="1" x14ac:dyDescent="0.25">
      <c r="A532" s="50">
        <v>46023</v>
      </c>
      <c r="B532" s="53"/>
      <c r="C532" s="55"/>
      <c r="D532" s="56"/>
      <c r="E532" s="57"/>
      <c r="F532" s="55"/>
      <c r="G532" s="57"/>
      <c r="H532" s="58"/>
      <c r="I532" s="26"/>
      <c r="J532" s="61"/>
      <c r="K532" s="64"/>
      <c r="L532" s="11"/>
      <c r="M532" s="53"/>
      <c r="N532" s="42"/>
      <c r="O532" s="43"/>
      <c r="P532" s="36"/>
      <c r="Q532" s="43"/>
      <c r="R532" s="36"/>
      <c r="S532" s="37"/>
      <c r="T532" s="76">
        <f t="shared" ref="T532" si="164">R532-P532</f>
        <v>0</v>
      </c>
      <c r="U532" s="77"/>
      <c r="V532" s="80"/>
      <c r="W532" s="80"/>
      <c r="X532" s="80"/>
      <c r="Y532" s="83"/>
      <c r="Z532" s="86"/>
      <c r="AA532" s="48"/>
      <c r="AB532" s="48"/>
      <c r="AC532" s="96"/>
      <c r="AD532" s="99"/>
      <c r="AE532" s="101"/>
    </row>
    <row r="533" spans="1:31" ht="17.100000000000001" customHeight="1" x14ac:dyDescent="0.25">
      <c r="A533" s="51"/>
      <c r="B533" s="54"/>
      <c r="C533" s="68"/>
      <c r="D533" s="69"/>
      <c r="E533" s="70"/>
      <c r="F533" s="68"/>
      <c r="G533" s="70"/>
      <c r="H533" s="59"/>
      <c r="I533" s="24"/>
      <c r="J533" s="62"/>
      <c r="K533" s="65"/>
      <c r="L533" s="17"/>
      <c r="M533" s="54"/>
      <c r="N533" s="44"/>
      <c r="O533" s="45"/>
      <c r="P533" s="38"/>
      <c r="Q533" s="45"/>
      <c r="R533" s="38"/>
      <c r="S533" s="39"/>
      <c r="T533" s="32"/>
      <c r="U533" s="78"/>
      <c r="V533" s="81"/>
      <c r="W533" s="81"/>
      <c r="X533" s="81"/>
      <c r="Y533" s="84"/>
      <c r="Z533" s="34"/>
      <c r="AA533" s="29"/>
      <c r="AB533" s="29"/>
      <c r="AC533" s="97"/>
      <c r="AD533" s="100"/>
      <c r="AE533" s="102"/>
    </row>
    <row r="534" spans="1:31" ht="17.100000000000001" customHeight="1" x14ac:dyDescent="0.25">
      <c r="A534" s="51"/>
      <c r="B534" s="66"/>
      <c r="C534" s="68"/>
      <c r="D534" s="69"/>
      <c r="E534" s="70"/>
      <c r="F534" s="68"/>
      <c r="G534" s="70"/>
      <c r="H534" s="59"/>
      <c r="I534" s="27"/>
      <c r="J534" s="63"/>
      <c r="K534" s="71"/>
      <c r="L534" s="18"/>
      <c r="M534" s="66"/>
      <c r="N534" s="46"/>
      <c r="O534" s="47"/>
      <c r="P534" s="40"/>
      <c r="Q534" s="47"/>
      <c r="R534" s="40"/>
      <c r="S534" s="41"/>
      <c r="T534" s="31">
        <f>(P535-P532)+(R532-R535)</f>
        <v>0</v>
      </c>
      <c r="U534" s="78"/>
      <c r="V534" s="81"/>
      <c r="W534" s="81"/>
      <c r="X534" s="81"/>
      <c r="Y534" s="84"/>
      <c r="Z534" s="87"/>
      <c r="AA534" s="49"/>
      <c r="AB534" s="49"/>
      <c r="AC534" s="98"/>
      <c r="AD534" s="104"/>
      <c r="AE534" s="102"/>
    </row>
    <row r="535" spans="1:31" ht="17.100000000000001" customHeight="1" x14ac:dyDescent="0.25">
      <c r="A535" s="51"/>
      <c r="B535" s="54"/>
      <c r="C535" s="68"/>
      <c r="D535" s="69"/>
      <c r="E535" s="70"/>
      <c r="F535" s="68"/>
      <c r="G535" s="70"/>
      <c r="H535" s="59"/>
      <c r="I535" s="23"/>
      <c r="J535" s="88"/>
      <c r="K535" s="65"/>
      <c r="L535" s="18"/>
      <c r="M535" s="54"/>
      <c r="N535" s="90">
        <f>(P532-N532)+(P535-P532)+(R532-R535)</f>
        <v>0</v>
      </c>
      <c r="O535" s="91"/>
      <c r="P535" s="90"/>
      <c r="Q535" s="91"/>
      <c r="R535" s="90"/>
      <c r="S535" s="94"/>
      <c r="T535" s="32"/>
      <c r="U535" s="78"/>
      <c r="V535" s="81"/>
      <c r="W535" s="81"/>
      <c r="X535" s="81"/>
      <c r="Y535" s="84"/>
      <c r="Z535" s="34"/>
      <c r="AA535" s="28"/>
      <c r="AB535" s="28"/>
      <c r="AC535" s="97"/>
      <c r="AD535" s="100"/>
      <c r="AE535" s="102"/>
    </row>
    <row r="536" spans="1:31" ht="17.100000000000001" customHeight="1" x14ac:dyDescent="0.25">
      <c r="A536" s="51"/>
      <c r="B536" s="66"/>
      <c r="C536" s="68"/>
      <c r="D536" s="69"/>
      <c r="E536" s="70"/>
      <c r="F536" s="68"/>
      <c r="G536" s="70"/>
      <c r="H536" s="59"/>
      <c r="I536" s="24"/>
      <c r="J536" s="62"/>
      <c r="K536" s="71" t="s">
        <v>51</v>
      </c>
      <c r="L536" s="16" t="s">
        <v>51</v>
      </c>
      <c r="M536" s="66" t="s">
        <v>51</v>
      </c>
      <c r="N536" s="38"/>
      <c r="O536" s="45"/>
      <c r="P536" s="38"/>
      <c r="Q536" s="45"/>
      <c r="R536" s="38"/>
      <c r="S536" s="39"/>
      <c r="T536" s="31">
        <f t="shared" ref="T536" si="165">R535-P535</f>
        <v>0</v>
      </c>
      <c r="U536" s="78"/>
      <c r="V536" s="81"/>
      <c r="W536" s="81"/>
      <c r="X536" s="81"/>
      <c r="Y536" s="84"/>
      <c r="Z536" s="34"/>
      <c r="AA536" s="29"/>
      <c r="AB536" s="29"/>
      <c r="AC536" s="97"/>
      <c r="AD536" s="104"/>
      <c r="AE536" s="102"/>
    </row>
    <row r="537" spans="1:31" ht="17.100000000000001" customHeight="1" thickBot="1" x14ac:dyDescent="0.3">
      <c r="A537" s="52"/>
      <c r="B537" s="67"/>
      <c r="C537" s="73"/>
      <c r="D537" s="74"/>
      <c r="E537" s="75"/>
      <c r="F537" s="73"/>
      <c r="G537" s="75"/>
      <c r="H537" s="60"/>
      <c r="I537" s="25"/>
      <c r="J537" s="89"/>
      <c r="K537" s="72"/>
      <c r="L537" s="19" t="s">
        <v>52</v>
      </c>
      <c r="M537" s="67"/>
      <c r="N537" s="92"/>
      <c r="O537" s="93"/>
      <c r="P537" s="92"/>
      <c r="Q537" s="93"/>
      <c r="R537" s="92"/>
      <c r="S537" s="95"/>
      <c r="T537" s="33"/>
      <c r="U537" s="79"/>
      <c r="V537" s="82"/>
      <c r="W537" s="82"/>
      <c r="X537" s="82"/>
      <c r="Y537" s="85"/>
      <c r="Z537" s="35"/>
      <c r="AA537" s="30"/>
      <c r="AB537" s="30"/>
      <c r="AC537" s="105"/>
      <c r="AD537" s="106"/>
      <c r="AE537" s="103"/>
    </row>
    <row r="538" spans="1:31" ht="17.100000000000001" customHeight="1" x14ac:dyDescent="0.25">
      <c r="A538" s="50">
        <v>46023</v>
      </c>
      <c r="B538" s="53"/>
      <c r="C538" s="55"/>
      <c r="D538" s="56"/>
      <c r="E538" s="57"/>
      <c r="F538" s="55"/>
      <c r="G538" s="57"/>
      <c r="H538" s="58"/>
      <c r="I538" s="26"/>
      <c r="J538" s="61"/>
      <c r="K538" s="64"/>
      <c r="L538" s="11"/>
      <c r="M538" s="53"/>
      <c r="N538" s="42"/>
      <c r="O538" s="43"/>
      <c r="P538" s="36"/>
      <c r="Q538" s="43"/>
      <c r="R538" s="36"/>
      <c r="S538" s="37"/>
      <c r="T538" s="76">
        <f t="shared" ref="T538" si="166">R538-P538</f>
        <v>0</v>
      </c>
      <c r="U538" s="77"/>
      <c r="V538" s="80"/>
      <c r="W538" s="80"/>
      <c r="X538" s="80"/>
      <c r="Y538" s="83"/>
      <c r="Z538" s="86"/>
      <c r="AA538" s="48"/>
      <c r="AB538" s="48"/>
      <c r="AC538" s="96"/>
      <c r="AD538" s="99"/>
      <c r="AE538" s="101"/>
    </row>
    <row r="539" spans="1:31" ht="17.100000000000001" customHeight="1" x14ac:dyDescent="0.25">
      <c r="A539" s="51"/>
      <c r="B539" s="54"/>
      <c r="C539" s="68"/>
      <c r="D539" s="69"/>
      <c r="E539" s="70"/>
      <c r="F539" s="68"/>
      <c r="G539" s="70"/>
      <c r="H539" s="59"/>
      <c r="I539" s="24"/>
      <c r="J539" s="62"/>
      <c r="K539" s="65"/>
      <c r="L539" s="17"/>
      <c r="M539" s="54"/>
      <c r="N539" s="44"/>
      <c r="O539" s="45"/>
      <c r="P539" s="38"/>
      <c r="Q539" s="45"/>
      <c r="R539" s="38"/>
      <c r="S539" s="39"/>
      <c r="T539" s="32"/>
      <c r="U539" s="78"/>
      <c r="V539" s="81"/>
      <c r="W539" s="81"/>
      <c r="X539" s="81"/>
      <c r="Y539" s="84"/>
      <c r="Z539" s="34"/>
      <c r="AA539" s="29"/>
      <c r="AB539" s="29"/>
      <c r="AC539" s="97"/>
      <c r="AD539" s="100"/>
      <c r="AE539" s="102"/>
    </row>
    <row r="540" spans="1:31" ht="17.100000000000001" customHeight="1" x14ac:dyDescent="0.25">
      <c r="A540" s="51"/>
      <c r="B540" s="66"/>
      <c r="C540" s="68"/>
      <c r="D540" s="69"/>
      <c r="E540" s="70"/>
      <c r="F540" s="68"/>
      <c r="G540" s="70"/>
      <c r="H540" s="59"/>
      <c r="I540" s="27"/>
      <c r="J540" s="63"/>
      <c r="K540" s="71"/>
      <c r="L540" s="18"/>
      <c r="M540" s="66"/>
      <c r="N540" s="46"/>
      <c r="O540" s="47"/>
      <c r="P540" s="40"/>
      <c r="Q540" s="47"/>
      <c r="R540" s="40"/>
      <c r="S540" s="41"/>
      <c r="T540" s="31">
        <f>(P541-P538)+(R538-R541)</f>
        <v>0</v>
      </c>
      <c r="U540" s="78"/>
      <c r="V540" s="81"/>
      <c r="W540" s="81"/>
      <c r="X540" s="81"/>
      <c r="Y540" s="84"/>
      <c r="Z540" s="87"/>
      <c r="AA540" s="49"/>
      <c r="AB540" s="49"/>
      <c r="AC540" s="98"/>
      <c r="AD540" s="104"/>
      <c r="AE540" s="102"/>
    </row>
    <row r="541" spans="1:31" ht="17.100000000000001" customHeight="1" x14ac:dyDescent="0.25">
      <c r="A541" s="51"/>
      <c r="B541" s="54"/>
      <c r="C541" s="68"/>
      <c r="D541" s="69"/>
      <c r="E541" s="70"/>
      <c r="F541" s="68"/>
      <c r="G541" s="70"/>
      <c r="H541" s="59"/>
      <c r="I541" s="23"/>
      <c r="J541" s="88"/>
      <c r="K541" s="65"/>
      <c r="L541" s="18"/>
      <c r="M541" s="54"/>
      <c r="N541" s="90">
        <f>(P538-N538)+(P541-P538)+(R538-R541)</f>
        <v>0</v>
      </c>
      <c r="O541" s="91"/>
      <c r="P541" s="90"/>
      <c r="Q541" s="91"/>
      <c r="R541" s="90"/>
      <c r="S541" s="94"/>
      <c r="T541" s="32"/>
      <c r="U541" s="78"/>
      <c r="V541" s="81"/>
      <c r="W541" s="81"/>
      <c r="X541" s="81"/>
      <c r="Y541" s="84"/>
      <c r="Z541" s="34"/>
      <c r="AA541" s="28"/>
      <c r="AB541" s="28"/>
      <c r="AC541" s="97"/>
      <c r="AD541" s="100"/>
      <c r="AE541" s="102"/>
    </row>
    <row r="542" spans="1:31" ht="17.100000000000001" customHeight="1" x14ac:dyDescent="0.25">
      <c r="A542" s="51"/>
      <c r="B542" s="66"/>
      <c r="C542" s="68"/>
      <c r="D542" s="69"/>
      <c r="E542" s="70"/>
      <c r="F542" s="68"/>
      <c r="G542" s="70"/>
      <c r="H542" s="59"/>
      <c r="I542" s="24"/>
      <c r="J542" s="62"/>
      <c r="K542" s="71" t="s">
        <v>51</v>
      </c>
      <c r="L542" s="16" t="s">
        <v>51</v>
      </c>
      <c r="M542" s="66" t="s">
        <v>51</v>
      </c>
      <c r="N542" s="38"/>
      <c r="O542" s="45"/>
      <c r="P542" s="38"/>
      <c r="Q542" s="45"/>
      <c r="R542" s="38"/>
      <c r="S542" s="39"/>
      <c r="T542" s="31">
        <f t="shared" ref="T542" si="167">R541-P541</f>
        <v>0</v>
      </c>
      <c r="U542" s="78"/>
      <c r="V542" s="81"/>
      <c r="W542" s="81"/>
      <c r="X542" s="81"/>
      <c r="Y542" s="84"/>
      <c r="Z542" s="34"/>
      <c r="AA542" s="29"/>
      <c r="AB542" s="29"/>
      <c r="AC542" s="97"/>
      <c r="AD542" s="104"/>
      <c r="AE542" s="102"/>
    </row>
    <row r="543" spans="1:31" ht="17.100000000000001" customHeight="1" thickBot="1" x14ac:dyDescent="0.3">
      <c r="A543" s="52"/>
      <c r="B543" s="67"/>
      <c r="C543" s="73"/>
      <c r="D543" s="74"/>
      <c r="E543" s="75"/>
      <c r="F543" s="73"/>
      <c r="G543" s="75"/>
      <c r="H543" s="60"/>
      <c r="I543" s="25"/>
      <c r="J543" s="89"/>
      <c r="K543" s="72"/>
      <c r="L543" s="19" t="s">
        <v>52</v>
      </c>
      <c r="M543" s="67"/>
      <c r="N543" s="92"/>
      <c r="O543" s="93"/>
      <c r="P543" s="92"/>
      <c r="Q543" s="93"/>
      <c r="R543" s="92"/>
      <c r="S543" s="95"/>
      <c r="T543" s="33"/>
      <c r="U543" s="79"/>
      <c r="V543" s="82"/>
      <c r="W543" s="82"/>
      <c r="X543" s="82"/>
      <c r="Y543" s="85"/>
      <c r="Z543" s="35"/>
      <c r="AA543" s="30"/>
      <c r="AB543" s="30"/>
      <c r="AC543" s="105"/>
      <c r="AD543" s="106"/>
      <c r="AE543" s="103"/>
    </row>
    <row r="545" spans="1:31" ht="17.100000000000001" customHeight="1" thickBot="1" x14ac:dyDescent="0.3"/>
    <row r="546" spans="1:31" ht="17.100000000000001" customHeight="1" x14ac:dyDescent="0.25">
      <c r="A546" s="50">
        <v>46023</v>
      </c>
      <c r="B546" s="53"/>
      <c r="C546" s="55"/>
      <c r="D546" s="56"/>
      <c r="E546" s="57"/>
      <c r="F546" s="55"/>
      <c r="G546" s="57"/>
      <c r="H546" s="58"/>
      <c r="I546" s="26"/>
      <c r="J546" s="61"/>
      <c r="K546" s="64"/>
      <c r="L546" s="11"/>
      <c r="M546" s="53"/>
      <c r="N546" s="42"/>
      <c r="O546" s="43"/>
      <c r="P546" s="36"/>
      <c r="Q546" s="43"/>
      <c r="R546" s="36"/>
      <c r="S546" s="37"/>
      <c r="T546" s="76">
        <f t="shared" ref="T546" si="168">R546-P546</f>
        <v>0</v>
      </c>
      <c r="U546" s="77"/>
      <c r="V546" s="80"/>
      <c r="W546" s="80"/>
      <c r="X546" s="80"/>
      <c r="Y546" s="83"/>
      <c r="Z546" s="86"/>
      <c r="AA546" s="48"/>
      <c r="AB546" s="48"/>
      <c r="AC546" s="96"/>
      <c r="AD546" s="99"/>
      <c r="AE546" s="101"/>
    </row>
    <row r="547" spans="1:31" ht="17.100000000000001" customHeight="1" x14ac:dyDescent="0.25">
      <c r="A547" s="51"/>
      <c r="B547" s="54"/>
      <c r="C547" s="68"/>
      <c r="D547" s="69"/>
      <c r="E547" s="70"/>
      <c r="F547" s="68"/>
      <c r="G547" s="70"/>
      <c r="H547" s="59"/>
      <c r="I547" s="24"/>
      <c r="J547" s="62"/>
      <c r="K547" s="65"/>
      <c r="L547" s="17"/>
      <c r="M547" s="54"/>
      <c r="N547" s="44"/>
      <c r="O547" s="45"/>
      <c r="P547" s="38"/>
      <c r="Q547" s="45"/>
      <c r="R547" s="38"/>
      <c r="S547" s="39"/>
      <c r="T547" s="32"/>
      <c r="U547" s="78"/>
      <c r="V547" s="81"/>
      <c r="W547" s="81"/>
      <c r="X547" s="81"/>
      <c r="Y547" s="84"/>
      <c r="Z547" s="34"/>
      <c r="AA547" s="29"/>
      <c r="AB547" s="29"/>
      <c r="AC547" s="97"/>
      <c r="AD547" s="100"/>
      <c r="AE547" s="102"/>
    </row>
    <row r="548" spans="1:31" ht="17.100000000000001" customHeight="1" x14ac:dyDescent="0.25">
      <c r="A548" s="51"/>
      <c r="B548" s="66"/>
      <c r="C548" s="68"/>
      <c r="D548" s="69"/>
      <c r="E548" s="70"/>
      <c r="F548" s="68"/>
      <c r="G548" s="70"/>
      <c r="H548" s="59"/>
      <c r="I548" s="27"/>
      <c r="J548" s="63"/>
      <c r="K548" s="71"/>
      <c r="L548" s="18"/>
      <c r="M548" s="66"/>
      <c r="N548" s="46"/>
      <c r="O548" s="47"/>
      <c r="P548" s="40"/>
      <c r="Q548" s="47"/>
      <c r="R548" s="40"/>
      <c r="S548" s="41"/>
      <c r="T548" s="31">
        <f>(P549-P546)+(R546-R549)</f>
        <v>0</v>
      </c>
      <c r="U548" s="78"/>
      <c r="V548" s="81"/>
      <c r="W548" s="81"/>
      <c r="X548" s="81"/>
      <c r="Y548" s="84"/>
      <c r="Z548" s="87"/>
      <c r="AA548" s="49"/>
      <c r="AB548" s="49"/>
      <c r="AC548" s="98"/>
      <c r="AD548" s="104"/>
      <c r="AE548" s="102"/>
    </row>
    <row r="549" spans="1:31" ht="17.100000000000001" customHeight="1" x14ac:dyDescent="0.25">
      <c r="A549" s="51"/>
      <c r="B549" s="54"/>
      <c r="C549" s="68"/>
      <c r="D549" s="69"/>
      <c r="E549" s="70"/>
      <c r="F549" s="68"/>
      <c r="G549" s="70"/>
      <c r="H549" s="59"/>
      <c r="I549" s="23"/>
      <c r="J549" s="88"/>
      <c r="K549" s="65"/>
      <c r="L549" s="18"/>
      <c r="M549" s="54"/>
      <c r="N549" s="90">
        <f>(P546-N546)+(P549-P546)+(R546-R549)</f>
        <v>0</v>
      </c>
      <c r="O549" s="91"/>
      <c r="P549" s="90"/>
      <c r="Q549" s="91"/>
      <c r="R549" s="90"/>
      <c r="S549" s="94"/>
      <c r="T549" s="32"/>
      <c r="U549" s="78"/>
      <c r="V549" s="81"/>
      <c r="W549" s="81"/>
      <c r="X549" s="81"/>
      <c r="Y549" s="84"/>
      <c r="Z549" s="34"/>
      <c r="AA549" s="28"/>
      <c r="AB549" s="28"/>
      <c r="AC549" s="97"/>
      <c r="AD549" s="100"/>
      <c r="AE549" s="102"/>
    </row>
    <row r="550" spans="1:31" ht="17.100000000000001" customHeight="1" x14ac:dyDescent="0.25">
      <c r="A550" s="51"/>
      <c r="B550" s="66"/>
      <c r="C550" s="68"/>
      <c r="D550" s="69"/>
      <c r="E550" s="70"/>
      <c r="F550" s="68"/>
      <c r="G550" s="70"/>
      <c r="H550" s="59"/>
      <c r="I550" s="24"/>
      <c r="J550" s="62"/>
      <c r="K550" s="71" t="s">
        <v>51</v>
      </c>
      <c r="L550" s="16" t="s">
        <v>51</v>
      </c>
      <c r="M550" s="66" t="s">
        <v>51</v>
      </c>
      <c r="N550" s="38"/>
      <c r="O550" s="45"/>
      <c r="P550" s="38"/>
      <c r="Q550" s="45"/>
      <c r="R550" s="38"/>
      <c r="S550" s="39"/>
      <c r="T550" s="31">
        <f t="shared" ref="T550" si="169">R549-P549</f>
        <v>0</v>
      </c>
      <c r="U550" s="78"/>
      <c r="V550" s="81"/>
      <c r="W550" s="81"/>
      <c r="X550" s="81"/>
      <c r="Y550" s="84"/>
      <c r="Z550" s="34"/>
      <c r="AA550" s="29"/>
      <c r="AB550" s="29"/>
      <c r="AC550" s="97"/>
      <c r="AD550" s="104"/>
      <c r="AE550" s="102"/>
    </row>
    <row r="551" spans="1:31" ht="17.100000000000001" customHeight="1" thickBot="1" x14ac:dyDescent="0.3">
      <c r="A551" s="52"/>
      <c r="B551" s="67"/>
      <c r="C551" s="73"/>
      <c r="D551" s="74"/>
      <c r="E551" s="75"/>
      <c r="F551" s="73"/>
      <c r="G551" s="75"/>
      <c r="H551" s="60"/>
      <c r="I551" s="25"/>
      <c r="J551" s="89"/>
      <c r="K551" s="72"/>
      <c r="L551" s="19" t="s">
        <v>52</v>
      </c>
      <c r="M551" s="67"/>
      <c r="N551" s="92"/>
      <c r="O551" s="93"/>
      <c r="P551" s="92"/>
      <c r="Q551" s="93"/>
      <c r="R551" s="92"/>
      <c r="S551" s="95"/>
      <c r="T551" s="33"/>
      <c r="U551" s="79"/>
      <c r="V551" s="82"/>
      <c r="W551" s="82"/>
      <c r="X551" s="82"/>
      <c r="Y551" s="85"/>
      <c r="Z551" s="35"/>
      <c r="AA551" s="30"/>
      <c r="AB551" s="30"/>
      <c r="AC551" s="105"/>
      <c r="AD551" s="106"/>
      <c r="AE551" s="103"/>
    </row>
    <row r="552" spans="1:31" ht="17.100000000000001" customHeight="1" x14ac:dyDescent="0.25">
      <c r="A552" s="50">
        <v>46023</v>
      </c>
      <c r="B552" s="53"/>
      <c r="C552" s="55"/>
      <c r="D552" s="56"/>
      <c r="E552" s="57"/>
      <c r="F552" s="55"/>
      <c r="G552" s="57"/>
      <c r="H552" s="58"/>
      <c r="I552" s="26"/>
      <c r="J552" s="61"/>
      <c r="K552" s="64"/>
      <c r="L552" s="11"/>
      <c r="M552" s="53"/>
      <c r="N552" s="42"/>
      <c r="O552" s="43"/>
      <c r="P552" s="36"/>
      <c r="Q552" s="43"/>
      <c r="R552" s="36"/>
      <c r="S552" s="37"/>
      <c r="T552" s="76">
        <f t="shared" ref="T552" si="170">R552-P552</f>
        <v>0</v>
      </c>
      <c r="U552" s="77"/>
      <c r="V552" s="80"/>
      <c r="W552" s="80"/>
      <c r="X552" s="80"/>
      <c r="Y552" s="83"/>
      <c r="Z552" s="86"/>
      <c r="AA552" s="48"/>
      <c r="AB552" s="48"/>
      <c r="AC552" s="96"/>
      <c r="AD552" s="99"/>
      <c r="AE552" s="101"/>
    </row>
    <row r="553" spans="1:31" ht="17.100000000000001" customHeight="1" x14ac:dyDescent="0.25">
      <c r="A553" s="51"/>
      <c r="B553" s="54"/>
      <c r="C553" s="68"/>
      <c r="D553" s="69"/>
      <c r="E553" s="70"/>
      <c r="F553" s="68"/>
      <c r="G553" s="70"/>
      <c r="H553" s="59"/>
      <c r="I553" s="24"/>
      <c r="J553" s="62"/>
      <c r="K553" s="65"/>
      <c r="L553" s="17"/>
      <c r="M553" s="54"/>
      <c r="N553" s="44"/>
      <c r="O553" s="45"/>
      <c r="P553" s="38"/>
      <c r="Q553" s="45"/>
      <c r="R553" s="38"/>
      <c r="S553" s="39"/>
      <c r="T553" s="32"/>
      <c r="U553" s="78"/>
      <c r="V553" s="81"/>
      <c r="W553" s="81"/>
      <c r="X553" s="81"/>
      <c r="Y553" s="84"/>
      <c r="Z553" s="34"/>
      <c r="AA553" s="29"/>
      <c r="AB553" s="29"/>
      <c r="AC553" s="97"/>
      <c r="AD553" s="100"/>
      <c r="AE553" s="102"/>
    </row>
    <row r="554" spans="1:31" ht="17.100000000000001" customHeight="1" x14ac:dyDescent="0.25">
      <c r="A554" s="51"/>
      <c r="B554" s="66"/>
      <c r="C554" s="68"/>
      <c r="D554" s="69"/>
      <c r="E554" s="70"/>
      <c r="F554" s="68"/>
      <c r="G554" s="70"/>
      <c r="H554" s="59"/>
      <c r="I554" s="27"/>
      <c r="J554" s="63"/>
      <c r="K554" s="71"/>
      <c r="L554" s="18"/>
      <c r="M554" s="66"/>
      <c r="N554" s="46"/>
      <c r="O554" s="47"/>
      <c r="P554" s="40"/>
      <c r="Q554" s="47"/>
      <c r="R554" s="40"/>
      <c r="S554" s="41"/>
      <c r="T554" s="31">
        <f>(P555-P552)+(R552-R555)</f>
        <v>0</v>
      </c>
      <c r="U554" s="78"/>
      <c r="V554" s="81"/>
      <c r="W554" s="81"/>
      <c r="X554" s="81"/>
      <c r="Y554" s="84"/>
      <c r="Z554" s="87"/>
      <c r="AA554" s="49"/>
      <c r="AB554" s="49"/>
      <c r="AC554" s="98"/>
      <c r="AD554" s="104"/>
      <c r="AE554" s="102"/>
    </row>
    <row r="555" spans="1:31" ht="17.100000000000001" customHeight="1" x14ac:dyDescent="0.25">
      <c r="A555" s="51"/>
      <c r="B555" s="54"/>
      <c r="C555" s="68"/>
      <c r="D555" s="69"/>
      <c r="E555" s="70"/>
      <c r="F555" s="68"/>
      <c r="G555" s="70"/>
      <c r="H555" s="59"/>
      <c r="I555" s="23"/>
      <c r="J555" s="88"/>
      <c r="K555" s="65"/>
      <c r="L555" s="18"/>
      <c r="M555" s="54"/>
      <c r="N555" s="90">
        <f>(P552-N552)+(P555-P552)+(R552-R555)</f>
        <v>0</v>
      </c>
      <c r="O555" s="91"/>
      <c r="P555" s="90"/>
      <c r="Q555" s="91"/>
      <c r="R555" s="90"/>
      <c r="S555" s="94"/>
      <c r="T555" s="32"/>
      <c r="U555" s="78"/>
      <c r="V555" s="81"/>
      <c r="W555" s="81"/>
      <c r="X555" s="81"/>
      <c r="Y555" s="84"/>
      <c r="Z555" s="34"/>
      <c r="AA555" s="28"/>
      <c r="AB555" s="28"/>
      <c r="AC555" s="97"/>
      <c r="AD555" s="100"/>
      <c r="AE555" s="102"/>
    </row>
    <row r="556" spans="1:31" ht="17.100000000000001" customHeight="1" x14ac:dyDescent="0.25">
      <c r="A556" s="51"/>
      <c r="B556" s="66"/>
      <c r="C556" s="68"/>
      <c r="D556" s="69"/>
      <c r="E556" s="70"/>
      <c r="F556" s="68"/>
      <c r="G556" s="70"/>
      <c r="H556" s="59"/>
      <c r="I556" s="24"/>
      <c r="J556" s="62"/>
      <c r="K556" s="71" t="s">
        <v>51</v>
      </c>
      <c r="L556" s="16" t="s">
        <v>51</v>
      </c>
      <c r="M556" s="66" t="s">
        <v>51</v>
      </c>
      <c r="N556" s="38"/>
      <c r="O556" s="45"/>
      <c r="P556" s="38"/>
      <c r="Q556" s="45"/>
      <c r="R556" s="38"/>
      <c r="S556" s="39"/>
      <c r="T556" s="31">
        <f t="shared" ref="T556" si="171">R555-P555</f>
        <v>0</v>
      </c>
      <c r="U556" s="78"/>
      <c r="V556" s="81"/>
      <c r="W556" s="81"/>
      <c r="X556" s="81"/>
      <c r="Y556" s="84"/>
      <c r="Z556" s="34"/>
      <c r="AA556" s="29"/>
      <c r="AB556" s="29"/>
      <c r="AC556" s="97"/>
      <c r="AD556" s="104"/>
      <c r="AE556" s="102"/>
    </row>
    <row r="557" spans="1:31" ht="17.100000000000001" customHeight="1" thickBot="1" x14ac:dyDescent="0.3">
      <c r="A557" s="52"/>
      <c r="B557" s="67"/>
      <c r="C557" s="73"/>
      <c r="D557" s="74"/>
      <c r="E557" s="75"/>
      <c r="F557" s="73"/>
      <c r="G557" s="75"/>
      <c r="H557" s="60"/>
      <c r="I557" s="25"/>
      <c r="J557" s="89"/>
      <c r="K557" s="72"/>
      <c r="L557" s="19" t="s">
        <v>52</v>
      </c>
      <c r="M557" s="67"/>
      <c r="N557" s="92"/>
      <c r="O557" s="93"/>
      <c r="P557" s="92"/>
      <c r="Q557" s="93"/>
      <c r="R557" s="92"/>
      <c r="S557" s="95"/>
      <c r="T557" s="33"/>
      <c r="U557" s="79"/>
      <c r="V557" s="82"/>
      <c r="W557" s="82"/>
      <c r="X557" s="82"/>
      <c r="Y557" s="85"/>
      <c r="Z557" s="35"/>
      <c r="AA557" s="30"/>
      <c r="AB557" s="30"/>
      <c r="AC557" s="105"/>
      <c r="AD557" s="106"/>
      <c r="AE557" s="103"/>
    </row>
    <row r="558" spans="1:31" ht="17.100000000000001" customHeight="1" x14ac:dyDescent="0.25">
      <c r="A558" s="50">
        <v>46023</v>
      </c>
      <c r="B558" s="53"/>
      <c r="C558" s="55"/>
      <c r="D558" s="56"/>
      <c r="E558" s="57"/>
      <c r="F558" s="55"/>
      <c r="G558" s="57"/>
      <c r="H558" s="58"/>
      <c r="I558" s="26"/>
      <c r="J558" s="61"/>
      <c r="K558" s="64"/>
      <c r="L558" s="11"/>
      <c r="M558" s="53"/>
      <c r="N558" s="42"/>
      <c r="O558" s="43"/>
      <c r="P558" s="36"/>
      <c r="Q558" s="43"/>
      <c r="R558" s="36"/>
      <c r="S558" s="37"/>
      <c r="T558" s="76">
        <f t="shared" ref="T558" si="172">R558-P558</f>
        <v>0</v>
      </c>
      <c r="U558" s="77"/>
      <c r="V558" s="80"/>
      <c r="W558" s="80"/>
      <c r="X558" s="80"/>
      <c r="Y558" s="83"/>
      <c r="Z558" s="86"/>
      <c r="AA558" s="48"/>
      <c r="AB558" s="48"/>
      <c r="AC558" s="96"/>
      <c r="AD558" s="99"/>
      <c r="AE558" s="101"/>
    </row>
    <row r="559" spans="1:31" ht="17.100000000000001" customHeight="1" x14ac:dyDescent="0.25">
      <c r="A559" s="51"/>
      <c r="B559" s="54"/>
      <c r="C559" s="68"/>
      <c r="D559" s="69"/>
      <c r="E559" s="70"/>
      <c r="F559" s="68"/>
      <c r="G559" s="70"/>
      <c r="H559" s="59"/>
      <c r="I559" s="24"/>
      <c r="J559" s="62"/>
      <c r="K559" s="65"/>
      <c r="L559" s="17"/>
      <c r="M559" s="54"/>
      <c r="N559" s="44"/>
      <c r="O559" s="45"/>
      <c r="P559" s="38"/>
      <c r="Q559" s="45"/>
      <c r="R559" s="38"/>
      <c r="S559" s="39"/>
      <c r="T559" s="32"/>
      <c r="U559" s="78"/>
      <c r="V559" s="81"/>
      <c r="W559" s="81"/>
      <c r="X559" s="81"/>
      <c r="Y559" s="84"/>
      <c r="Z559" s="34"/>
      <c r="AA559" s="29"/>
      <c r="AB559" s="29"/>
      <c r="AC559" s="97"/>
      <c r="AD559" s="100"/>
      <c r="AE559" s="102"/>
    </row>
    <row r="560" spans="1:31" ht="17.100000000000001" customHeight="1" x14ac:dyDescent="0.25">
      <c r="A560" s="51"/>
      <c r="B560" s="66"/>
      <c r="C560" s="68"/>
      <c r="D560" s="69"/>
      <c r="E560" s="70"/>
      <c r="F560" s="68"/>
      <c r="G560" s="70"/>
      <c r="H560" s="59"/>
      <c r="I560" s="27"/>
      <c r="J560" s="63"/>
      <c r="K560" s="71"/>
      <c r="L560" s="18"/>
      <c r="M560" s="66"/>
      <c r="N560" s="46"/>
      <c r="O560" s="47"/>
      <c r="P560" s="40"/>
      <c r="Q560" s="47"/>
      <c r="R560" s="40"/>
      <c r="S560" s="41"/>
      <c r="T560" s="31">
        <f>(P561-P558)+(R558-R561)</f>
        <v>0</v>
      </c>
      <c r="U560" s="78"/>
      <c r="V560" s="81"/>
      <c r="W560" s="81"/>
      <c r="X560" s="81"/>
      <c r="Y560" s="84"/>
      <c r="Z560" s="87"/>
      <c r="AA560" s="49"/>
      <c r="AB560" s="49"/>
      <c r="AC560" s="98"/>
      <c r="AD560" s="104"/>
      <c r="AE560" s="102"/>
    </row>
    <row r="561" spans="1:31" ht="17.100000000000001" customHeight="1" x14ac:dyDescent="0.25">
      <c r="A561" s="51"/>
      <c r="B561" s="54"/>
      <c r="C561" s="68"/>
      <c r="D561" s="69"/>
      <c r="E561" s="70"/>
      <c r="F561" s="68"/>
      <c r="G561" s="70"/>
      <c r="H561" s="59"/>
      <c r="I561" s="23"/>
      <c r="J561" s="88"/>
      <c r="K561" s="65"/>
      <c r="L561" s="18"/>
      <c r="M561" s="54"/>
      <c r="N561" s="90">
        <f>(P558-N558)+(P561-P558)+(R558-R561)</f>
        <v>0</v>
      </c>
      <c r="O561" s="91"/>
      <c r="P561" s="90"/>
      <c r="Q561" s="91"/>
      <c r="R561" s="90"/>
      <c r="S561" s="94"/>
      <c r="T561" s="32"/>
      <c r="U561" s="78"/>
      <c r="V561" s="81"/>
      <c r="W561" s="81"/>
      <c r="X561" s="81"/>
      <c r="Y561" s="84"/>
      <c r="Z561" s="34"/>
      <c r="AA561" s="28"/>
      <c r="AB561" s="28"/>
      <c r="AC561" s="97"/>
      <c r="AD561" s="100"/>
      <c r="AE561" s="102"/>
    </row>
    <row r="562" spans="1:31" ht="17.100000000000001" customHeight="1" x14ac:dyDescent="0.25">
      <c r="A562" s="51"/>
      <c r="B562" s="66"/>
      <c r="C562" s="68"/>
      <c r="D562" s="69"/>
      <c r="E562" s="70"/>
      <c r="F562" s="68"/>
      <c r="G562" s="70"/>
      <c r="H562" s="59"/>
      <c r="I562" s="24"/>
      <c r="J562" s="62"/>
      <c r="K562" s="71" t="s">
        <v>51</v>
      </c>
      <c r="L562" s="16" t="s">
        <v>51</v>
      </c>
      <c r="M562" s="66" t="s">
        <v>51</v>
      </c>
      <c r="N562" s="38"/>
      <c r="O562" s="45"/>
      <c r="P562" s="38"/>
      <c r="Q562" s="45"/>
      <c r="R562" s="38"/>
      <c r="S562" s="39"/>
      <c r="T562" s="31">
        <f t="shared" ref="T562" si="173">R561-P561</f>
        <v>0</v>
      </c>
      <c r="U562" s="78"/>
      <c r="V562" s="81"/>
      <c r="W562" s="81"/>
      <c r="X562" s="81"/>
      <c r="Y562" s="84"/>
      <c r="Z562" s="34"/>
      <c r="AA562" s="29"/>
      <c r="AB562" s="29"/>
      <c r="AC562" s="97"/>
      <c r="AD562" s="104"/>
      <c r="AE562" s="102"/>
    </row>
    <row r="563" spans="1:31" ht="17.100000000000001" customHeight="1" thickBot="1" x14ac:dyDescent="0.3">
      <c r="A563" s="52"/>
      <c r="B563" s="67"/>
      <c r="C563" s="73"/>
      <c r="D563" s="74"/>
      <c r="E563" s="75"/>
      <c r="F563" s="73"/>
      <c r="G563" s="75"/>
      <c r="H563" s="60"/>
      <c r="I563" s="25"/>
      <c r="J563" s="89"/>
      <c r="K563" s="72"/>
      <c r="L563" s="19" t="s">
        <v>52</v>
      </c>
      <c r="M563" s="67"/>
      <c r="N563" s="92"/>
      <c r="O563" s="93"/>
      <c r="P563" s="92"/>
      <c r="Q563" s="93"/>
      <c r="R563" s="92"/>
      <c r="S563" s="95"/>
      <c r="T563" s="33"/>
      <c r="U563" s="79"/>
      <c r="V563" s="82"/>
      <c r="W563" s="82"/>
      <c r="X563" s="82"/>
      <c r="Y563" s="85"/>
      <c r="Z563" s="35"/>
      <c r="AA563" s="30"/>
      <c r="AB563" s="30"/>
      <c r="AC563" s="105"/>
      <c r="AD563" s="106"/>
      <c r="AE563" s="103"/>
    </row>
    <row r="564" spans="1:31" ht="17.100000000000001" customHeight="1" x14ac:dyDescent="0.25">
      <c r="A564" s="50">
        <v>46023</v>
      </c>
      <c r="B564" s="53"/>
      <c r="C564" s="55"/>
      <c r="D564" s="56"/>
      <c r="E564" s="57"/>
      <c r="F564" s="55"/>
      <c r="G564" s="57"/>
      <c r="H564" s="58"/>
      <c r="I564" s="26"/>
      <c r="J564" s="61"/>
      <c r="K564" s="64"/>
      <c r="L564" s="11"/>
      <c r="M564" s="53"/>
      <c r="N564" s="42"/>
      <c r="O564" s="43"/>
      <c r="P564" s="36"/>
      <c r="Q564" s="43"/>
      <c r="R564" s="36"/>
      <c r="S564" s="37"/>
      <c r="T564" s="76">
        <f t="shared" ref="T564" si="174">R564-P564</f>
        <v>0</v>
      </c>
      <c r="U564" s="77"/>
      <c r="V564" s="80"/>
      <c r="W564" s="80"/>
      <c r="X564" s="80"/>
      <c r="Y564" s="83"/>
      <c r="Z564" s="86"/>
      <c r="AA564" s="48"/>
      <c r="AB564" s="48"/>
      <c r="AC564" s="96"/>
      <c r="AD564" s="99"/>
      <c r="AE564" s="101"/>
    </row>
    <row r="565" spans="1:31" ht="17.100000000000001" customHeight="1" x14ac:dyDescent="0.25">
      <c r="A565" s="51"/>
      <c r="B565" s="54"/>
      <c r="C565" s="68"/>
      <c r="D565" s="69"/>
      <c r="E565" s="70"/>
      <c r="F565" s="68"/>
      <c r="G565" s="70"/>
      <c r="H565" s="59"/>
      <c r="I565" s="24"/>
      <c r="J565" s="62"/>
      <c r="K565" s="65"/>
      <c r="L565" s="17"/>
      <c r="M565" s="54"/>
      <c r="N565" s="44"/>
      <c r="O565" s="45"/>
      <c r="P565" s="38"/>
      <c r="Q565" s="45"/>
      <c r="R565" s="38"/>
      <c r="S565" s="39"/>
      <c r="T565" s="32"/>
      <c r="U565" s="78"/>
      <c r="V565" s="81"/>
      <c r="W565" s="81"/>
      <c r="X565" s="81"/>
      <c r="Y565" s="84"/>
      <c r="Z565" s="34"/>
      <c r="AA565" s="29"/>
      <c r="AB565" s="29"/>
      <c r="AC565" s="97"/>
      <c r="AD565" s="100"/>
      <c r="AE565" s="102"/>
    </row>
    <row r="566" spans="1:31" ht="17.100000000000001" customHeight="1" x14ac:dyDescent="0.25">
      <c r="A566" s="51"/>
      <c r="B566" s="66"/>
      <c r="C566" s="68"/>
      <c r="D566" s="69"/>
      <c r="E566" s="70"/>
      <c r="F566" s="68"/>
      <c r="G566" s="70"/>
      <c r="H566" s="59"/>
      <c r="I566" s="27"/>
      <c r="J566" s="63"/>
      <c r="K566" s="71"/>
      <c r="L566" s="18"/>
      <c r="M566" s="66"/>
      <c r="N566" s="46"/>
      <c r="O566" s="47"/>
      <c r="P566" s="40"/>
      <c r="Q566" s="47"/>
      <c r="R566" s="40"/>
      <c r="S566" s="41"/>
      <c r="T566" s="31">
        <f>(P567-P564)+(R564-R567)</f>
        <v>0</v>
      </c>
      <c r="U566" s="78"/>
      <c r="V566" s="81"/>
      <c r="W566" s="81"/>
      <c r="X566" s="81"/>
      <c r="Y566" s="84"/>
      <c r="Z566" s="87"/>
      <c r="AA566" s="49"/>
      <c r="AB566" s="49"/>
      <c r="AC566" s="98"/>
      <c r="AD566" s="104"/>
      <c r="AE566" s="102"/>
    </row>
    <row r="567" spans="1:31" ht="17.100000000000001" customHeight="1" x14ac:dyDescent="0.25">
      <c r="A567" s="51"/>
      <c r="B567" s="54"/>
      <c r="C567" s="68"/>
      <c r="D567" s="69"/>
      <c r="E567" s="70"/>
      <c r="F567" s="68"/>
      <c r="G567" s="70"/>
      <c r="H567" s="59"/>
      <c r="I567" s="23"/>
      <c r="J567" s="88"/>
      <c r="K567" s="65"/>
      <c r="L567" s="18"/>
      <c r="M567" s="54"/>
      <c r="N567" s="90">
        <f>(P564-N564)+(P567-P564)+(R564-R567)</f>
        <v>0</v>
      </c>
      <c r="O567" s="91"/>
      <c r="P567" s="90"/>
      <c r="Q567" s="91"/>
      <c r="R567" s="90"/>
      <c r="S567" s="94"/>
      <c r="T567" s="32"/>
      <c r="U567" s="78"/>
      <c r="V567" s="81"/>
      <c r="W567" s="81"/>
      <c r="X567" s="81"/>
      <c r="Y567" s="84"/>
      <c r="Z567" s="34"/>
      <c r="AA567" s="28"/>
      <c r="AB567" s="28"/>
      <c r="AC567" s="97"/>
      <c r="AD567" s="100"/>
      <c r="AE567" s="102"/>
    </row>
    <row r="568" spans="1:31" ht="17.100000000000001" customHeight="1" x14ac:dyDescent="0.25">
      <c r="A568" s="51"/>
      <c r="B568" s="66"/>
      <c r="C568" s="68"/>
      <c r="D568" s="69"/>
      <c r="E568" s="70"/>
      <c r="F568" s="68"/>
      <c r="G568" s="70"/>
      <c r="H568" s="59"/>
      <c r="I568" s="24"/>
      <c r="J568" s="62"/>
      <c r="K568" s="71" t="s">
        <v>51</v>
      </c>
      <c r="L568" s="16" t="s">
        <v>51</v>
      </c>
      <c r="M568" s="66" t="s">
        <v>51</v>
      </c>
      <c r="N568" s="38"/>
      <c r="O568" s="45"/>
      <c r="P568" s="38"/>
      <c r="Q568" s="45"/>
      <c r="R568" s="38"/>
      <c r="S568" s="39"/>
      <c r="T568" s="31">
        <f t="shared" ref="T568" si="175">R567-P567</f>
        <v>0</v>
      </c>
      <c r="U568" s="78"/>
      <c r="V568" s="81"/>
      <c r="W568" s="81"/>
      <c r="X568" s="81"/>
      <c r="Y568" s="84"/>
      <c r="Z568" s="34"/>
      <c r="AA568" s="29"/>
      <c r="AB568" s="29"/>
      <c r="AC568" s="97"/>
      <c r="AD568" s="104"/>
      <c r="AE568" s="102"/>
    </row>
    <row r="569" spans="1:31" ht="17.100000000000001" customHeight="1" thickBot="1" x14ac:dyDescent="0.3">
      <c r="A569" s="52"/>
      <c r="B569" s="67"/>
      <c r="C569" s="73"/>
      <c r="D569" s="74"/>
      <c r="E569" s="75"/>
      <c r="F569" s="73"/>
      <c r="G569" s="75"/>
      <c r="H569" s="60"/>
      <c r="I569" s="25"/>
      <c r="J569" s="89"/>
      <c r="K569" s="72"/>
      <c r="L569" s="19" t="s">
        <v>52</v>
      </c>
      <c r="M569" s="67"/>
      <c r="N569" s="92"/>
      <c r="O569" s="93"/>
      <c r="P569" s="92"/>
      <c r="Q569" s="93"/>
      <c r="R569" s="92"/>
      <c r="S569" s="95"/>
      <c r="T569" s="33"/>
      <c r="U569" s="79"/>
      <c r="V569" s="82"/>
      <c r="W569" s="82"/>
      <c r="X569" s="82"/>
      <c r="Y569" s="85"/>
      <c r="Z569" s="35"/>
      <c r="AA569" s="30"/>
      <c r="AB569" s="30"/>
      <c r="AC569" s="105"/>
      <c r="AD569" s="106"/>
      <c r="AE569" s="103"/>
    </row>
    <row r="570" spans="1:31" ht="17.100000000000001" customHeight="1" x14ac:dyDescent="0.25">
      <c r="A570" s="50">
        <v>46023</v>
      </c>
      <c r="B570" s="53"/>
      <c r="C570" s="55"/>
      <c r="D570" s="56"/>
      <c r="E570" s="57"/>
      <c r="F570" s="55"/>
      <c r="G570" s="57"/>
      <c r="H570" s="58"/>
      <c r="I570" s="26"/>
      <c r="J570" s="61"/>
      <c r="K570" s="64"/>
      <c r="L570" s="11"/>
      <c r="M570" s="53"/>
      <c r="N570" s="42"/>
      <c r="O570" s="43"/>
      <c r="P570" s="36"/>
      <c r="Q570" s="43"/>
      <c r="R570" s="36"/>
      <c r="S570" s="37"/>
      <c r="T570" s="76">
        <f t="shared" ref="T570" si="176">R570-P570</f>
        <v>0</v>
      </c>
      <c r="U570" s="77"/>
      <c r="V570" s="80"/>
      <c r="W570" s="80"/>
      <c r="X570" s="80"/>
      <c r="Y570" s="83"/>
      <c r="Z570" s="86"/>
      <c r="AA570" s="48"/>
      <c r="AB570" s="48"/>
      <c r="AC570" s="96"/>
      <c r="AD570" s="99"/>
      <c r="AE570" s="101"/>
    </row>
    <row r="571" spans="1:31" ht="17.100000000000001" customHeight="1" x14ac:dyDescent="0.25">
      <c r="A571" s="51"/>
      <c r="B571" s="54"/>
      <c r="C571" s="68"/>
      <c r="D571" s="69"/>
      <c r="E571" s="70"/>
      <c r="F571" s="68"/>
      <c r="G571" s="70"/>
      <c r="H571" s="59"/>
      <c r="I571" s="24"/>
      <c r="J571" s="62"/>
      <c r="K571" s="65"/>
      <c r="L571" s="17"/>
      <c r="M571" s="54"/>
      <c r="N571" s="44"/>
      <c r="O571" s="45"/>
      <c r="P571" s="38"/>
      <c r="Q571" s="45"/>
      <c r="R571" s="38"/>
      <c r="S571" s="39"/>
      <c r="T571" s="32"/>
      <c r="U571" s="78"/>
      <c r="V571" s="81"/>
      <c r="W571" s="81"/>
      <c r="X571" s="81"/>
      <c r="Y571" s="84"/>
      <c r="Z571" s="34"/>
      <c r="AA571" s="29"/>
      <c r="AB571" s="29"/>
      <c r="AC571" s="97"/>
      <c r="AD571" s="100"/>
      <c r="AE571" s="102"/>
    </row>
    <row r="572" spans="1:31" ht="17.100000000000001" customHeight="1" x14ac:dyDescent="0.25">
      <c r="A572" s="51"/>
      <c r="B572" s="66"/>
      <c r="C572" s="68"/>
      <c r="D572" s="69"/>
      <c r="E572" s="70"/>
      <c r="F572" s="68"/>
      <c r="G572" s="70"/>
      <c r="H572" s="59"/>
      <c r="I572" s="27"/>
      <c r="J572" s="63"/>
      <c r="K572" s="71"/>
      <c r="L572" s="18"/>
      <c r="M572" s="66"/>
      <c r="N572" s="46"/>
      <c r="O572" s="47"/>
      <c r="P572" s="40"/>
      <c r="Q572" s="47"/>
      <c r="R572" s="40"/>
      <c r="S572" s="41"/>
      <c r="T572" s="31">
        <f>(P573-P570)+(R570-R573)</f>
        <v>0</v>
      </c>
      <c r="U572" s="78"/>
      <c r="V572" s="81"/>
      <c r="W572" s="81"/>
      <c r="X572" s="81"/>
      <c r="Y572" s="84"/>
      <c r="Z572" s="87"/>
      <c r="AA572" s="49"/>
      <c r="AB572" s="49"/>
      <c r="AC572" s="98"/>
      <c r="AD572" s="104"/>
      <c r="AE572" s="102"/>
    </row>
    <row r="573" spans="1:31" ht="17.100000000000001" customHeight="1" x14ac:dyDescent="0.25">
      <c r="A573" s="51"/>
      <c r="B573" s="54"/>
      <c r="C573" s="68"/>
      <c r="D573" s="69"/>
      <c r="E573" s="70"/>
      <c r="F573" s="68"/>
      <c r="G573" s="70"/>
      <c r="H573" s="59"/>
      <c r="I573" s="23"/>
      <c r="J573" s="88"/>
      <c r="K573" s="65"/>
      <c r="L573" s="18"/>
      <c r="M573" s="54"/>
      <c r="N573" s="90">
        <f>(P570-N570)+(P573-P570)+(R570-R573)</f>
        <v>0</v>
      </c>
      <c r="O573" s="91"/>
      <c r="P573" s="90"/>
      <c r="Q573" s="91"/>
      <c r="R573" s="90"/>
      <c r="S573" s="94"/>
      <c r="T573" s="32"/>
      <c r="U573" s="78"/>
      <c r="V573" s="81"/>
      <c r="W573" s="81"/>
      <c r="X573" s="81"/>
      <c r="Y573" s="84"/>
      <c r="Z573" s="34"/>
      <c r="AA573" s="28"/>
      <c r="AB573" s="28"/>
      <c r="AC573" s="97"/>
      <c r="AD573" s="100"/>
      <c r="AE573" s="102"/>
    </row>
    <row r="574" spans="1:31" ht="17.100000000000001" customHeight="1" x14ac:dyDescent="0.25">
      <c r="A574" s="51"/>
      <c r="B574" s="66"/>
      <c r="C574" s="68"/>
      <c r="D574" s="69"/>
      <c r="E574" s="70"/>
      <c r="F574" s="68"/>
      <c r="G574" s="70"/>
      <c r="H574" s="59"/>
      <c r="I574" s="24"/>
      <c r="J574" s="62"/>
      <c r="K574" s="71" t="s">
        <v>51</v>
      </c>
      <c r="L574" s="16" t="s">
        <v>51</v>
      </c>
      <c r="M574" s="66" t="s">
        <v>51</v>
      </c>
      <c r="N574" s="38"/>
      <c r="O574" s="45"/>
      <c r="P574" s="38"/>
      <c r="Q574" s="45"/>
      <c r="R574" s="38"/>
      <c r="S574" s="39"/>
      <c r="T574" s="31">
        <f t="shared" ref="T574" si="177">R573-P573</f>
        <v>0</v>
      </c>
      <c r="U574" s="78"/>
      <c r="V574" s="81"/>
      <c r="W574" s="81"/>
      <c r="X574" s="81"/>
      <c r="Y574" s="84"/>
      <c r="Z574" s="34"/>
      <c r="AA574" s="29"/>
      <c r="AB574" s="29"/>
      <c r="AC574" s="97"/>
      <c r="AD574" s="104"/>
      <c r="AE574" s="102"/>
    </row>
    <row r="575" spans="1:31" ht="17.100000000000001" customHeight="1" thickBot="1" x14ac:dyDescent="0.3">
      <c r="A575" s="52"/>
      <c r="B575" s="67"/>
      <c r="C575" s="73"/>
      <c r="D575" s="74"/>
      <c r="E575" s="75"/>
      <c r="F575" s="73"/>
      <c r="G575" s="75"/>
      <c r="H575" s="60"/>
      <c r="I575" s="25"/>
      <c r="J575" s="89"/>
      <c r="K575" s="72"/>
      <c r="L575" s="19" t="s">
        <v>52</v>
      </c>
      <c r="M575" s="67"/>
      <c r="N575" s="92"/>
      <c r="O575" s="93"/>
      <c r="P575" s="92"/>
      <c r="Q575" s="93"/>
      <c r="R575" s="92"/>
      <c r="S575" s="95"/>
      <c r="T575" s="33"/>
      <c r="U575" s="79"/>
      <c r="V575" s="82"/>
      <c r="W575" s="82"/>
      <c r="X575" s="82"/>
      <c r="Y575" s="85"/>
      <c r="Z575" s="35"/>
      <c r="AA575" s="30"/>
      <c r="AB575" s="30"/>
      <c r="AC575" s="105"/>
      <c r="AD575" s="106"/>
      <c r="AE575" s="103"/>
    </row>
    <row r="577" spans="1:31" ht="17.100000000000001" customHeight="1" thickBot="1" x14ac:dyDescent="0.3"/>
    <row r="578" spans="1:31" ht="17.100000000000001" customHeight="1" x14ac:dyDescent="0.25">
      <c r="A578" s="50">
        <v>46023</v>
      </c>
      <c r="B578" s="53"/>
      <c r="C578" s="55"/>
      <c r="D578" s="56"/>
      <c r="E578" s="57"/>
      <c r="F578" s="55"/>
      <c r="G578" s="57"/>
      <c r="H578" s="58"/>
      <c r="I578" s="26"/>
      <c r="J578" s="61"/>
      <c r="K578" s="64"/>
      <c r="L578" s="11"/>
      <c r="M578" s="53"/>
      <c r="N578" s="42"/>
      <c r="O578" s="43"/>
      <c r="P578" s="36"/>
      <c r="Q578" s="43"/>
      <c r="R578" s="36"/>
      <c r="S578" s="37"/>
      <c r="T578" s="76">
        <f t="shared" ref="T578" si="178">R578-P578</f>
        <v>0</v>
      </c>
      <c r="U578" s="77"/>
      <c r="V578" s="80"/>
      <c r="W578" s="80"/>
      <c r="X578" s="80"/>
      <c r="Y578" s="83"/>
      <c r="Z578" s="86"/>
      <c r="AA578" s="48"/>
      <c r="AB578" s="48"/>
      <c r="AC578" s="96"/>
      <c r="AD578" s="99"/>
      <c r="AE578" s="101"/>
    </row>
    <row r="579" spans="1:31" ht="17.100000000000001" customHeight="1" x14ac:dyDescent="0.25">
      <c r="A579" s="51"/>
      <c r="B579" s="54"/>
      <c r="C579" s="68"/>
      <c r="D579" s="69"/>
      <c r="E579" s="70"/>
      <c r="F579" s="68"/>
      <c r="G579" s="70"/>
      <c r="H579" s="59"/>
      <c r="I579" s="24"/>
      <c r="J579" s="62"/>
      <c r="K579" s="65"/>
      <c r="L579" s="17"/>
      <c r="M579" s="54"/>
      <c r="N579" s="44"/>
      <c r="O579" s="45"/>
      <c r="P579" s="38"/>
      <c r="Q579" s="45"/>
      <c r="R579" s="38"/>
      <c r="S579" s="39"/>
      <c r="T579" s="32"/>
      <c r="U579" s="78"/>
      <c r="V579" s="81"/>
      <c r="W579" s="81"/>
      <c r="X579" s="81"/>
      <c r="Y579" s="84"/>
      <c r="Z579" s="34"/>
      <c r="AA579" s="29"/>
      <c r="AB579" s="29"/>
      <c r="AC579" s="97"/>
      <c r="AD579" s="100"/>
      <c r="AE579" s="102"/>
    </row>
    <row r="580" spans="1:31" ht="17.100000000000001" customHeight="1" x14ac:dyDescent="0.25">
      <c r="A580" s="51"/>
      <c r="B580" s="66"/>
      <c r="C580" s="68"/>
      <c r="D580" s="69"/>
      <c r="E580" s="70"/>
      <c r="F580" s="68"/>
      <c r="G580" s="70"/>
      <c r="H580" s="59"/>
      <c r="I580" s="27"/>
      <c r="J580" s="63"/>
      <c r="K580" s="71"/>
      <c r="L580" s="18"/>
      <c r="M580" s="66"/>
      <c r="N580" s="46"/>
      <c r="O580" s="47"/>
      <c r="P580" s="40"/>
      <c r="Q580" s="47"/>
      <c r="R580" s="40"/>
      <c r="S580" s="41"/>
      <c r="T580" s="31">
        <f>(P581-P578)+(R578-R581)</f>
        <v>0</v>
      </c>
      <c r="U580" s="78"/>
      <c r="V580" s="81"/>
      <c r="W580" s="81"/>
      <c r="X580" s="81"/>
      <c r="Y580" s="84"/>
      <c r="Z580" s="87"/>
      <c r="AA580" s="49"/>
      <c r="AB580" s="49"/>
      <c r="AC580" s="98"/>
      <c r="AD580" s="104"/>
      <c r="AE580" s="102"/>
    </row>
    <row r="581" spans="1:31" ht="17.100000000000001" customHeight="1" x14ac:dyDescent="0.25">
      <c r="A581" s="51"/>
      <c r="B581" s="54"/>
      <c r="C581" s="68"/>
      <c r="D581" s="69"/>
      <c r="E581" s="70"/>
      <c r="F581" s="68"/>
      <c r="G581" s="70"/>
      <c r="H581" s="59"/>
      <c r="I581" s="23"/>
      <c r="J581" s="88"/>
      <c r="K581" s="65"/>
      <c r="L581" s="18"/>
      <c r="M581" s="54"/>
      <c r="N581" s="90">
        <f>(P578-N578)+(P581-P578)+(R578-R581)</f>
        <v>0</v>
      </c>
      <c r="O581" s="91"/>
      <c r="P581" s="90"/>
      <c r="Q581" s="91"/>
      <c r="R581" s="90"/>
      <c r="S581" s="94"/>
      <c r="T581" s="32"/>
      <c r="U581" s="78"/>
      <c r="V581" s="81"/>
      <c r="W581" s="81"/>
      <c r="X581" s="81"/>
      <c r="Y581" s="84"/>
      <c r="Z581" s="34"/>
      <c r="AA581" s="28"/>
      <c r="AB581" s="28"/>
      <c r="AC581" s="97"/>
      <c r="AD581" s="100"/>
      <c r="AE581" s="102"/>
    </row>
    <row r="582" spans="1:31" ht="17.100000000000001" customHeight="1" x14ac:dyDescent="0.25">
      <c r="A582" s="51"/>
      <c r="B582" s="66"/>
      <c r="C582" s="68"/>
      <c r="D582" s="69"/>
      <c r="E582" s="70"/>
      <c r="F582" s="68"/>
      <c r="G582" s="70"/>
      <c r="H582" s="59"/>
      <c r="I582" s="24"/>
      <c r="J582" s="62"/>
      <c r="K582" s="71" t="s">
        <v>51</v>
      </c>
      <c r="L582" s="16" t="s">
        <v>51</v>
      </c>
      <c r="M582" s="66" t="s">
        <v>51</v>
      </c>
      <c r="N582" s="38"/>
      <c r="O582" s="45"/>
      <c r="P582" s="38"/>
      <c r="Q582" s="45"/>
      <c r="R582" s="38"/>
      <c r="S582" s="39"/>
      <c r="T582" s="31">
        <f t="shared" ref="T582" si="179">R581-P581</f>
        <v>0</v>
      </c>
      <c r="U582" s="78"/>
      <c r="V582" s="81"/>
      <c r="W582" s="81"/>
      <c r="X582" s="81"/>
      <c r="Y582" s="84"/>
      <c r="Z582" s="34"/>
      <c r="AA582" s="29"/>
      <c r="AB582" s="29"/>
      <c r="AC582" s="97"/>
      <c r="AD582" s="104"/>
      <c r="AE582" s="102"/>
    </row>
    <row r="583" spans="1:31" ht="17.100000000000001" customHeight="1" thickBot="1" x14ac:dyDescent="0.3">
      <c r="A583" s="52"/>
      <c r="B583" s="67"/>
      <c r="C583" s="73"/>
      <c r="D583" s="74"/>
      <c r="E583" s="75"/>
      <c r="F583" s="73"/>
      <c r="G583" s="75"/>
      <c r="H583" s="60"/>
      <c r="I583" s="25"/>
      <c r="J583" s="89"/>
      <c r="K583" s="72"/>
      <c r="L583" s="19" t="s">
        <v>52</v>
      </c>
      <c r="M583" s="67"/>
      <c r="N583" s="92"/>
      <c r="O583" s="93"/>
      <c r="P583" s="92"/>
      <c r="Q583" s="93"/>
      <c r="R583" s="92"/>
      <c r="S583" s="95"/>
      <c r="T583" s="33"/>
      <c r="U583" s="79"/>
      <c r="V583" s="82"/>
      <c r="W583" s="82"/>
      <c r="X583" s="82"/>
      <c r="Y583" s="85"/>
      <c r="Z583" s="35"/>
      <c r="AA583" s="30"/>
      <c r="AB583" s="30"/>
      <c r="AC583" s="105"/>
      <c r="AD583" s="106"/>
      <c r="AE583" s="103"/>
    </row>
    <row r="584" spans="1:31" ht="17.100000000000001" customHeight="1" x14ac:dyDescent="0.25">
      <c r="A584" s="50">
        <v>46023</v>
      </c>
      <c r="B584" s="53"/>
      <c r="C584" s="55"/>
      <c r="D584" s="56"/>
      <c r="E584" s="57"/>
      <c r="F584" s="55"/>
      <c r="G584" s="57"/>
      <c r="H584" s="58"/>
      <c r="I584" s="26"/>
      <c r="J584" s="61"/>
      <c r="K584" s="64"/>
      <c r="L584" s="11"/>
      <c r="M584" s="53"/>
      <c r="N584" s="42"/>
      <c r="O584" s="43"/>
      <c r="P584" s="36"/>
      <c r="Q584" s="43"/>
      <c r="R584" s="36"/>
      <c r="S584" s="37"/>
      <c r="T584" s="76">
        <f t="shared" ref="T584" si="180">R584-P584</f>
        <v>0</v>
      </c>
      <c r="U584" s="77"/>
      <c r="V584" s="80"/>
      <c r="W584" s="80"/>
      <c r="X584" s="80"/>
      <c r="Y584" s="83"/>
      <c r="Z584" s="86"/>
      <c r="AA584" s="48"/>
      <c r="AB584" s="48"/>
      <c r="AC584" s="96"/>
      <c r="AD584" s="99"/>
      <c r="AE584" s="101"/>
    </row>
    <row r="585" spans="1:31" ht="17.100000000000001" customHeight="1" x14ac:dyDescent="0.25">
      <c r="A585" s="51"/>
      <c r="B585" s="54"/>
      <c r="C585" s="68"/>
      <c r="D585" s="69"/>
      <c r="E585" s="70"/>
      <c r="F585" s="68"/>
      <c r="G585" s="70"/>
      <c r="H585" s="59"/>
      <c r="I585" s="24"/>
      <c r="J585" s="62"/>
      <c r="K585" s="65"/>
      <c r="L585" s="17"/>
      <c r="M585" s="54"/>
      <c r="N585" s="44"/>
      <c r="O585" s="45"/>
      <c r="P585" s="38"/>
      <c r="Q585" s="45"/>
      <c r="R585" s="38"/>
      <c r="S585" s="39"/>
      <c r="T585" s="32"/>
      <c r="U585" s="78"/>
      <c r="V585" s="81"/>
      <c r="W585" s="81"/>
      <c r="X585" s="81"/>
      <c r="Y585" s="84"/>
      <c r="Z585" s="34"/>
      <c r="AA585" s="29"/>
      <c r="AB585" s="29"/>
      <c r="AC585" s="97"/>
      <c r="AD585" s="100"/>
      <c r="AE585" s="102"/>
    </row>
    <row r="586" spans="1:31" ht="17.100000000000001" customHeight="1" x14ac:dyDescent="0.25">
      <c r="A586" s="51"/>
      <c r="B586" s="66"/>
      <c r="C586" s="68"/>
      <c r="D586" s="69"/>
      <c r="E586" s="70"/>
      <c r="F586" s="68"/>
      <c r="G586" s="70"/>
      <c r="H586" s="59"/>
      <c r="I586" s="27"/>
      <c r="J586" s="63"/>
      <c r="K586" s="71"/>
      <c r="L586" s="18"/>
      <c r="M586" s="66"/>
      <c r="N586" s="46"/>
      <c r="O586" s="47"/>
      <c r="P586" s="40"/>
      <c r="Q586" s="47"/>
      <c r="R586" s="40"/>
      <c r="S586" s="41"/>
      <c r="T586" s="31">
        <f>(P587-P584)+(R584-R587)</f>
        <v>0</v>
      </c>
      <c r="U586" s="78"/>
      <c r="V586" s="81"/>
      <c r="W586" s="81"/>
      <c r="X586" s="81"/>
      <c r="Y586" s="84"/>
      <c r="Z586" s="87"/>
      <c r="AA586" s="49"/>
      <c r="AB586" s="49"/>
      <c r="AC586" s="98"/>
      <c r="AD586" s="104"/>
      <c r="AE586" s="102"/>
    </row>
    <row r="587" spans="1:31" ht="17.100000000000001" customHeight="1" x14ac:dyDescent="0.25">
      <c r="A587" s="51"/>
      <c r="B587" s="54"/>
      <c r="C587" s="68"/>
      <c r="D587" s="69"/>
      <c r="E587" s="70"/>
      <c r="F587" s="68"/>
      <c r="G587" s="70"/>
      <c r="H587" s="59"/>
      <c r="I587" s="23"/>
      <c r="J587" s="88"/>
      <c r="K587" s="65"/>
      <c r="L587" s="18"/>
      <c r="M587" s="54"/>
      <c r="N587" s="90">
        <f>(P584-N584)+(P587-P584)+(R584-R587)</f>
        <v>0</v>
      </c>
      <c r="O587" s="91"/>
      <c r="P587" s="90"/>
      <c r="Q587" s="91"/>
      <c r="R587" s="90"/>
      <c r="S587" s="94"/>
      <c r="T587" s="32"/>
      <c r="U587" s="78"/>
      <c r="V587" s="81"/>
      <c r="W587" s="81"/>
      <c r="X587" s="81"/>
      <c r="Y587" s="84"/>
      <c r="Z587" s="34"/>
      <c r="AA587" s="28"/>
      <c r="AB587" s="28"/>
      <c r="AC587" s="97"/>
      <c r="AD587" s="100"/>
      <c r="AE587" s="102"/>
    </row>
    <row r="588" spans="1:31" ht="17.100000000000001" customHeight="1" x14ac:dyDescent="0.25">
      <c r="A588" s="51"/>
      <c r="B588" s="66"/>
      <c r="C588" s="68"/>
      <c r="D588" s="69"/>
      <c r="E588" s="70"/>
      <c r="F588" s="68"/>
      <c r="G588" s="70"/>
      <c r="H588" s="59"/>
      <c r="I588" s="24"/>
      <c r="J588" s="62"/>
      <c r="K588" s="71" t="s">
        <v>51</v>
      </c>
      <c r="L588" s="16" t="s">
        <v>51</v>
      </c>
      <c r="M588" s="66" t="s">
        <v>51</v>
      </c>
      <c r="N588" s="38"/>
      <c r="O588" s="45"/>
      <c r="P588" s="38"/>
      <c r="Q588" s="45"/>
      <c r="R588" s="38"/>
      <c r="S588" s="39"/>
      <c r="T588" s="31">
        <f t="shared" ref="T588" si="181">R587-P587</f>
        <v>0</v>
      </c>
      <c r="U588" s="78"/>
      <c r="V588" s="81"/>
      <c r="W588" s="81"/>
      <c r="X588" s="81"/>
      <c r="Y588" s="84"/>
      <c r="Z588" s="34"/>
      <c r="AA588" s="29"/>
      <c r="AB588" s="29"/>
      <c r="AC588" s="97"/>
      <c r="AD588" s="104"/>
      <c r="AE588" s="102"/>
    </row>
    <row r="589" spans="1:31" ht="17.100000000000001" customHeight="1" thickBot="1" x14ac:dyDescent="0.3">
      <c r="A589" s="52"/>
      <c r="B589" s="67"/>
      <c r="C589" s="73"/>
      <c r="D589" s="74"/>
      <c r="E589" s="75"/>
      <c r="F589" s="73"/>
      <c r="G589" s="75"/>
      <c r="H589" s="60"/>
      <c r="I589" s="25"/>
      <c r="J589" s="89"/>
      <c r="K589" s="72"/>
      <c r="L589" s="19" t="s">
        <v>52</v>
      </c>
      <c r="M589" s="67"/>
      <c r="N589" s="92"/>
      <c r="O589" s="93"/>
      <c r="P589" s="92"/>
      <c r="Q589" s="93"/>
      <c r="R589" s="92"/>
      <c r="S589" s="95"/>
      <c r="T589" s="33"/>
      <c r="U589" s="79"/>
      <c r="V589" s="82"/>
      <c r="W589" s="82"/>
      <c r="X589" s="82"/>
      <c r="Y589" s="85"/>
      <c r="Z589" s="35"/>
      <c r="AA589" s="30"/>
      <c r="AB589" s="30"/>
      <c r="AC589" s="105"/>
      <c r="AD589" s="106"/>
      <c r="AE589" s="103"/>
    </row>
    <row r="590" spans="1:31" ht="17.100000000000001" customHeight="1" x14ac:dyDescent="0.25">
      <c r="A590" s="50">
        <v>46023</v>
      </c>
      <c r="B590" s="53"/>
      <c r="C590" s="55"/>
      <c r="D590" s="56"/>
      <c r="E590" s="57"/>
      <c r="F590" s="55"/>
      <c r="G590" s="57"/>
      <c r="H590" s="58"/>
      <c r="I590" s="26"/>
      <c r="J590" s="61"/>
      <c r="K590" s="64"/>
      <c r="L590" s="11"/>
      <c r="M590" s="53"/>
      <c r="N590" s="42"/>
      <c r="O590" s="43"/>
      <c r="P590" s="36"/>
      <c r="Q590" s="43"/>
      <c r="R590" s="36"/>
      <c r="S590" s="37"/>
      <c r="T590" s="76">
        <f t="shared" ref="T590" si="182">R590-P590</f>
        <v>0</v>
      </c>
      <c r="U590" s="77"/>
      <c r="V590" s="80"/>
      <c r="W590" s="80"/>
      <c r="X590" s="80"/>
      <c r="Y590" s="83"/>
      <c r="Z590" s="86"/>
      <c r="AA590" s="48"/>
      <c r="AB590" s="48"/>
      <c r="AC590" s="96"/>
      <c r="AD590" s="99"/>
      <c r="AE590" s="101"/>
    </row>
    <row r="591" spans="1:31" ht="17.100000000000001" customHeight="1" x14ac:dyDescent="0.25">
      <c r="A591" s="51"/>
      <c r="B591" s="54"/>
      <c r="C591" s="68"/>
      <c r="D591" s="69"/>
      <c r="E591" s="70"/>
      <c r="F591" s="68"/>
      <c r="G591" s="70"/>
      <c r="H591" s="59"/>
      <c r="I591" s="24"/>
      <c r="J591" s="62"/>
      <c r="K591" s="65"/>
      <c r="L591" s="17"/>
      <c r="M591" s="54"/>
      <c r="N591" s="44"/>
      <c r="O591" s="45"/>
      <c r="P591" s="38"/>
      <c r="Q591" s="45"/>
      <c r="R591" s="38"/>
      <c r="S591" s="39"/>
      <c r="T591" s="32"/>
      <c r="U591" s="78"/>
      <c r="V591" s="81"/>
      <c r="W591" s="81"/>
      <c r="X591" s="81"/>
      <c r="Y591" s="84"/>
      <c r="Z591" s="34"/>
      <c r="AA591" s="29"/>
      <c r="AB591" s="29"/>
      <c r="AC591" s="97"/>
      <c r="AD591" s="100"/>
      <c r="AE591" s="102"/>
    </row>
    <row r="592" spans="1:31" ht="17.100000000000001" customHeight="1" x14ac:dyDescent="0.25">
      <c r="A592" s="51"/>
      <c r="B592" s="66"/>
      <c r="C592" s="68"/>
      <c r="D592" s="69"/>
      <c r="E592" s="70"/>
      <c r="F592" s="68"/>
      <c r="G592" s="70"/>
      <c r="H592" s="59"/>
      <c r="I592" s="27"/>
      <c r="J592" s="63"/>
      <c r="K592" s="71"/>
      <c r="L592" s="18"/>
      <c r="M592" s="66"/>
      <c r="N592" s="46"/>
      <c r="O592" s="47"/>
      <c r="P592" s="40"/>
      <c r="Q592" s="47"/>
      <c r="R592" s="40"/>
      <c r="S592" s="41"/>
      <c r="T592" s="31">
        <f>(P593-P590)+(R590-R593)</f>
        <v>0</v>
      </c>
      <c r="U592" s="78"/>
      <c r="V592" s="81"/>
      <c r="W592" s="81"/>
      <c r="X592" s="81"/>
      <c r="Y592" s="84"/>
      <c r="Z592" s="87"/>
      <c r="AA592" s="49"/>
      <c r="AB592" s="49"/>
      <c r="AC592" s="98"/>
      <c r="AD592" s="104"/>
      <c r="AE592" s="102"/>
    </row>
    <row r="593" spans="1:31" ht="17.100000000000001" customHeight="1" x14ac:dyDescent="0.25">
      <c r="A593" s="51"/>
      <c r="B593" s="54"/>
      <c r="C593" s="68"/>
      <c r="D593" s="69"/>
      <c r="E593" s="70"/>
      <c r="F593" s="68"/>
      <c r="G593" s="70"/>
      <c r="H593" s="59"/>
      <c r="I593" s="23"/>
      <c r="J593" s="88"/>
      <c r="K593" s="65"/>
      <c r="L593" s="18"/>
      <c r="M593" s="54"/>
      <c r="N593" s="90">
        <f>(P590-N590)+(P593-P590)+(R590-R593)</f>
        <v>0</v>
      </c>
      <c r="O593" s="91"/>
      <c r="P593" s="90"/>
      <c r="Q593" s="91"/>
      <c r="R593" s="90"/>
      <c r="S593" s="94"/>
      <c r="T593" s="32"/>
      <c r="U593" s="78"/>
      <c r="V593" s="81"/>
      <c r="W593" s="81"/>
      <c r="X593" s="81"/>
      <c r="Y593" s="84"/>
      <c r="Z593" s="34"/>
      <c r="AA593" s="28"/>
      <c r="AB593" s="28"/>
      <c r="AC593" s="97"/>
      <c r="AD593" s="100"/>
      <c r="AE593" s="102"/>
    </row>
    <row r="594" spans="1:31" ht="17.100000000000001" customHeight="1" x14ac:dyDescent="0.25">
      <c r="A594" s="51"/>
      <c r="B594" s="66"/>
      <c r="C594" s="68"/>
      <c r="D594" s="69"/>
      <c r="E594" s="70"/>
      <c r="F594" s="68"/>
      <c r="G594" s="70"/>
      <c r="H594" s="59"/>
      <c r="I594" s="24"/>
      <c r="J594" s="62"/>
      <c r="K594" s="71" t="s">
        <v>51</v>
      </c>
      <c r="L594" s="16" t="s">
        <v>51</v>
      </c>
      <c r="M594" s="66" t="s">
        <v>51</v>
      </c>
      <c r="N594" s="38"/>
      <c r="O594" s="45"/>
      <c r="P594" s="38"/>
      <c r="Q594" s="45"/>
      <c r="R594" s="38"/>
      <c r="S594" s="39"/>
      <c r="T594" s="31">
        <f t="shared" ref="T594" si="183">R593-P593</f>
        <v>0</v>
      </c>
      <c r="U594" s="78"/>
      <c r="V594" s="81"/>
      <c r="W594" s="81"/>
      <c r="X594" s="81"/>
      <c r="Y594" s="84"/>
      <c r="Z594" s="34"/>
      <c r="AA594" s="29"/>
      <c r="AB594" s="29"/>
      <c r="AC594" s="97"/>
      <c r="AD594" s="104"/>
      <c r="AE594" s="102"/>
    </row>
    <row r="595" spans="1:31" ht="17.100000000000001" customHeight="1" thickBot="1" x14ac:dyDescent="0.3">
      <c r="A595" s="52"/>
      <c r="B595" s="67"/>
      <c r="C595" s="73"/>
      <c r="D595" s="74"/>
      <c r="E595" s="75"/>
      <c r="F595" s="73"/>
      <c r="G595" s="75"/>
      <c r="H595" s="60"/>
      <c r="I595" s="25"/>
      <c r="J595" s="89"/>
      <c r="K595" s="72"/>
      <c r="L595" s="19" t="s">
        <v>52</v>
      </c>
      <c r="M595" s="67"/>
      <c r="N595" s="92"/>
      <c r="O595" s="93"/>
      <c r="P595" s="92"/>
      <c r="Q595" s="93"/>
      <c r="R595" s="92"/>
      <c r="S595" s="95"/>
      <c r="T595" s="33"/>
      <c r="U595" s="79"/>
      <c r="V595" s="82"/>
      <c r="W595" s="82"/>
      <c r="X595" s="82"/>
      <c r="Y595" s="85"/>
      <c r="Z595" s="35"/>
      <c r="AA595" s="30"/>
      <c r="AB595" s="30"/>
      <c r="AC595" s="105"/>
      <c r="AD595" s="106"/>
      <c r="AE595" s="103"/>
    </row>
    <row r="596" spans="1:31" ht="17.100000000000001" customHeight="1" x14ac:dyDescent="0.25">
      <c r="A596" s="50">
        <v>46023</v>
      </c>
      <c r="B596" s="53"/>
      <c r="C596" s="55"/>
      <c r="D596" s="56"/>
      <c r="E596" s="57"/>
      <c r="F596" s="55"/>
      <c r="G596" s="57"/>
      <c r="H596" s="58"/>
      <c r="I596" s="26"/>
      <c r="J596" s="61"/>
      <c r="K596" s="64"/>
      <c r="L596" s="11"/>
      <c r="M596" s="53"/>
      <c r="N596" s="42"/>
      <c r="O596" s="43"/>
      <c r="P596" s="36"/>
      <c r="Q596" s="43"/>
      <c r="R596" s="36"/>
      <c r="S596" s="37"/>
      <c r="T596" s="76">
        <f t="shared" ref="T596" si="184">R596-P596</f>
        <v>0</v>
      </c>
      <c r="U596" s="77"/>
      <c r="V596" s="80"/>
      <c r="W596" s="80"/>
      <c r="X596" s="80"/>
      <c r="Y596" s="83"/>
      <c r="Z596" s="86"/>
      <c r="AA596" s="48"/>
      <c r="AB596" s="48"/>
      <c r="AC596" s="96"/>
      <c r="AD596" s="99"/>
      <c r="AE596" s="101"/>
    </row>
    <row r="597" spans="1:31" ht="17.100000000000001" customHeight="1" x14ac:dyDescent="0.25">
      <c r="A597" s="51"/>
      <c r="B597" s="54"/>
      <c r="C597" s="68"/>
      <c r="D597" s="69"/>
      <c r="E597" s="70"/>
      <c r="F597" s="68"/>
      <c r="G597" s="70"/>
      <c r="H597" s="59"/>
      <c r="I597" s="24"/>
      <c r="J597" s="62"/>
      <c r="K597" s="65"/>
      <c r="L597" s="17"/>
      <c r="M597" s="54"/>
      <c r="N597" s="44"/>
      <c r="O597" s="45"/>
      <c r="P597" s="38"/>
      <c r="Q597" s="45"/>
      <c r="R597" s="38"/>
      <c r="S597" s="39"/>
      <c r="T597" s="32"/>
      <c r="U597" s="78"/>
      <c r="V597" s="81"/>
      <c r="W597" s="81"/>
      <c r="X597" s="81"/>
      <c r="Y597" s="84"/>
      <c r="Z597" s="34"/>
      <c r="AA597" s="29"/>
      <c r="AB597" s="29"/>
      <c r="AC597" s="97"/>
      <c r="AD597" s="100"/>
      <c r="AE597" s="102"/>
    </row>
    <row r="598" spans="1:31" ht="17.100000000000001" customHeight="1" x14ac:dyDescent="0.25">
      <c r="A598" s="51"/>
      <c r="B598" s="66"/>
      <c r="C598" s="68"/>
      <c r="D598" s="69"/>
      <c r="E598" s="70"/>
      <c r="F598" s="68"/>
      <c r="G598" s="70"/>
      <c r="H598" s="59"/>
      <c r="I598" s="27"/>
      <c r="J598" s="63"/>
      <c r="K598" s="71"/>
      <c r="L598" s="18"/>
      <c r="M598" s="66"/>
      <c r="N598" s="46"/>
      <c r="O598" s="47"/>
      <c r="P598" s="40"/>
      <c r="Q598" s="47"/>
      <c r="R598" s="40"/>
      <c r="S598" s="41"/>
      <c r="T598" s="31">
        <f>(P599-P596)+(R596-R599)</f>
        <v>0</v>
      </c>
      <c r="U598" s="78"/>
      <c r="V598" s="81"/>
      <c r="W598" s="81"/>
      <c r="X598" s="81"/>
      <c r="Y598" s="84"/>
      <c r="Z598" s="87"/>
      <c r="AA598" s="49"/>
      <c r="AB598" s="49"/>
      <c r="AC598" s="98"/>
      <c r="AD598" s="104"/>
      <c r="AE598" s="102"/>
    </row>
    <row r="599" spans="1:31" ht="17.100000000000001" customHeight="1" x14ac:dyDescent="0.25">
      <c r="A599" s="51"/>
      <c r="B599" s="54"/>
      <c r="C599" s="68"/>
      <c r="D599" s="69"/>
      <c r="E599" s="70"/>
      <c r="F599" s="68"/>
      <c r="G599" s="70"/>
      <c r="H599" s="59"/>
      <c r="I599" s="23"/>
      <c r="J599" s="88"/>
      <c r="K599" s="65"/>
      <c r="L599" s="18"/>
      <c r="M599" s="54"/>
      <c r="N599" s="90">
        <f>(P596-N596)+(P599-P596)+(R596-R599)</f>
        <v>0</v>
      </c>
      <c r="O599" s="91"/>
      <c r="P599" s="90"/>
      <c r="Q599" s="91"/>
      <c r="R599" s="90"/>
      <c r="S599" s="94"/>
      <c r="T599" s="32"/>
      <c r="U599" s="78"/>
      <c r="V599" s="81"/>
      <c r="W599" s="81"/>
      <c r="X599" s="81"/>
      <c r="Y599" s="84"/>
      <c r="Z599" s="34"/>
      <c r="AA599" s="28"/>
      <c r="AB599" s="28"/>
      <c r="AC599" s="97"/>
      <c r="AD599" s="100"/>
      <c r="AE599" s="102"/>
    </row>
    <row r="600" spans="1:31" ht="17.100000000000001" customHeight="1" x14ac:dyDescent="0.25">
      <c r="A600" s="51"/>
      <c r="B600" s="66"/>
      <c r="C600" s="68"/>
      <c r="D600" s="69"/>
      <c r="E600" s="70"/>
      <c r="F600" s="68"/>
      <c r="G600" s="70"/>
      <c r="H600" s="59"/>
      <c r="I600" s="24"/>
      <c r="J600" s="62"/>
      <c r="K600" s="71" t="s">
        <v>51</v>
      </c>
      <c r="L600" s="16" t="s">
        <v>51</v>
      </c>
      <c r="M600" s="66" t="s">
        <v>51</v>
      </c>
      <c r="N600" s="38"/>
      <c r="O600" s="45"/>
      <c r="P600" s="38"/>
      <c r="Q600" s="45"/>
      <c r="R600" s="38"/>
      <c r="S600" s="39"/>
      <c r="T600" s="31">
        <f t="shared" ref="T600" si="185">R599-P599</f>
        <v>0</v>
      </c>
      <c r="U600" s="78"/>
      <c r="V600" s="81"/>
      <c r="W600" s="81"/>
      <c r="X600" s="81"/>
      <c r="Y600" s="84"/>
      <c r="Z600" s="34"/>
      <c r="AA600" s="29"/>
      <c r="AB600" s="29"/>
      <c r="AC600" s="97"/>
      <c r="AD600" s="104"/>
      <c r="AE600" s="102"/>
    </row>
    <row r="601" spans="1:31" ht="17.100000000000001" customHeight="1" thickBot="1" x14ac:dyDescent="0.3">
      <c r="A601" s="52"/>
      <c r="B601" s="67"/>
      <c r="C601" s="73"/>
      <c r="D601" s="74"/>
      <c r="E601" s="75"/>
      <c r="F601" s="73"/>
      <c r="G601" s="75"/>
      <c r="H601" s="60"/>
      <c r="I601" s="25"/>
      <c r="J601" s="89"/>
      <c r="K601" s="72"/>
      <c r="L601" s="19" t="s">
        <v>52</v>
      </c>
      <c r="M601" s="67"/>
      <c r="N601" s="92"/>
      <c r="O601" s="93"/>
      <c r="P601" s="92"/>
      <c r="Q601" s="93"/>
      <c r="R601" s="92"/>
      <c r="S601" s="95"/>
      <c r="T601" s="33"/>
      <c r="U601" s="79"/>
      <c r="V601" s="82"/>
      <c r="W601" s="82"/>
      <c r="X601" s="82"/>
      <c r="Y601" s="85"/>
      <c r="Z601" s="35"/>
      <c r="AA601" s="30"/>
      <c r="AB601" s="30"/>
      <c r="AC601" s="105"/>
      <c r="AD601" s="106"/>
      <c r="AE601" s="103"/>
    </row>
    <row r="602" spans="1:31" ht="17.100000000000001" customHeight="1" x14ac:dyDescent="0.25">
      <c r="A602" s="50">
        <v>46023</v>
      </c>
      <c r="B602" s="53"/>
      <c r="C602" s="55"/>
      <c r="D602" s="56"/>
      <c r="E602" s="57"/>
      <c r="F602" s="55"/>
      <c r="G602" s="57"/>
      <c r="H602" s="58"/>
      <c r="I602" s="26"/>
      <c r="J602" s="61"/>
      <c r="K602" s="64"/>
      <c r="L602" s="11"/>
      <c r="M602" s="53"/>
      <c r="N602" s="42"/>
      <c r="O602" s="43"/>
      <c r="P602" s="36"/>
      <c r="Q602" s="43"/>
      <c r="R602" s="36"/>
      <c r="S602" s="37"/>
      <c r="T602" s="76">
        <f t="shared" ref="T602" si="186">R602-P602</f>
        <v>0</v>
      </c>
      <c r="U602" s="77"/>
      <c r="V602" s="80"/>
      <c r="W602" s="80"/>
      <c r="X602" s="80"/>
      <c r="Y602" s="83"/>
      <c r="Z602" s="86"/>
      <c r="AA602" s="48"/>
      <c r="AB602" s="48"/>
      <c r="AC602" s="96"/>
      <c r="AD602" s="99"/>
      <c r="AE602" s="101"/>
    </row>
    <row r="603" spans="1:31" ht="17.100000000000001" customHeight="1" x14ac:dyDescent="0.25">
      <c r="A603" s="51"/>
      <c r="B603" s="54"/>
      <c r="C603" s="68"/>
      <c r="D603" s="69"/>
      <c r="E603" s="70"/>
      <c r="F603" s="68"/>
      <c r="G603" s="70"/>
      <c r="H603" s="59"/>
      <c r="I603" s="24"/>
      <c r="J603" s="62"/>
      <c r="K603" s="65"/>
      <c r="L603" s="17"/>
      <c r="M603" s="54"/>
      <c r="N603" s="44"/>
      <c r="O603" s="45"/>
      <c r="P603" s="38"/>
      <c r="Q603" s="45"/>
      <c r="R603" s="38"/>
      <c r="S603" s="39"/>
      <c r="T603" s="32"/>
      <c r="U603" s="78"/>
      <c r="V603" s="81"/>
      <c r="W603" s="81"/>
      <c r="X603" s="81"/>
      <c r="Y603" s="84"/>
      <c r="Z603" s="34"/>
      <c r="AA603" s="29"/>
      <c r="AB603" s="29"/>
      <c r="AC603" s="97"/>
      <c r="AD603" s="100"/>
      <c r="AE603" s="102"/>
    </row>
    <row r="604" spans="1:31" ht="17.100000000000001" customHeight="1" x14ac:dyDescent="0.25">
      <c r="A604" s="51"/>
      <c r="B604" s="66"/>
      <c r="C604" s="68"/>
      <c r="D604" s="69"/>
      <c r="E604" s="70"/>
      <c r="F604" s="68"/>
      <c r="G604" s="70"/>
      <c r="H604" s="59"/>
      <c r="I604" s="27"/>
      <c r="J604" s="63"/>
      <c r="K604" s="71"/>
      <c r="L604" s="18"/>
      <c r="M604" s="66"/>
      <c r="N604" s="46"/>
      <c r="O604" s="47"/>
      <c r="P604" s="40"/>
      <c r="Q604" s="47"/>
      <c r="R604" s="40"/>
      <c r="S604" s="41"/>
      <c r="T604" s="31">
        <f>(P605-P602)+(R602-R605)</f>
        <v>0</v>
      </c>
      <c r="U604" s="78"/>
      <c r="V604" s="81"/>
      <c r="W604" s="81"/>
      <c r="X604" s="81"/>
      <c r="Y604" s="84"/>
      <c r="Z604" s="87"/>
      <c r="AA604" s="49"/>
      <c r="AB604" s="49"/>
      <c r="AC604" s="98"/>
      <c r="AD604" s="104"/>
      <c r="AE604" s="102"/>
    </row>
    <row r="605" spans="1:31" ht="17.100000000000001" customHeight="1" x14ac:dyDescent="0.25">
      <c r="A605" s="51"/>
      <c r="B605" s="54"/>
      <c r="C605" s="68"/>
      <c r="D605" s="69"/>
      <c r="E605" s="70"/>
      <c r="F605" s="68"/>
      <c r="G605" s="70"/>
      <c r="H605" s="59"/>
      <c r="I605" s="23"/>
      <c r="J605" s="88"/>
      <c r="K605" s="65"/>
      <c r="L605" s="18"/>
      <c r="M605" s="54"/>
      <c r="N605" s="90">
        <f>(P602-N602)+(P605-P602)+(R602-R605)</f>
        <v>0</v>
      </c>
      <c r="O605" s="91"/>
      <c r="P605" s="90"/>
      <c r="Q605" s="91"/>
      <c r="R605" s="90"/>
      <c r="S605" s="94"/>
      <c r="T605" s="32"/>
      <c r="U605" s="78"/>
      <c r="V605" s="81"/>
      <c r="W605" s="81"/>
      <c r="X605" s="81"/>
      <c r="Y605" s="84"/>
      <c r="Z605" s="34"/>
      <c r="AA605" s="28"/>
      <c r="AB605" s="28"/>
      <c r="AC605" s="97"/>
      <c r="AD605" s="100"/>
      <c r="AE605" s="102"/>
    </row>
    <row r="606" spans="1:31" ht="17.100000000000001" customHeight="1" x14ac:dyDescent="0.25">
      <c r="A606" s="51"/>
      <c r="B606" s="66"/>
      <c r="C606" s="68"/>
      <c r="D606" s="69"/>
      <c r="E606" s="70"/>
      <c r="F606" s="68"/>
      <c r="G606" s="70"/>
      <c r="H606" s="59"/>
      <c r="I606" s="24"/>
      <c r="J606" s="62"/>
      <c r="K606" s="71" t="s">
        <v>51</v>
      </c>
      <c r="L606" s="16" t="s">
        <v>51</v>
      </c>
      <c r="M606" s="66" t="s">
        <v>51</v>
      </c>
      <c r="N606" s="38"/>
      <c r="O606" s="45"/>
      <c r="P606" s="38"/>
      <c r="Q606" s="45"/>
      <c r="R606" s="38"/>
      <c r="S606" s="39"/>
      <c r="T606" s="31">
        <f t="shared" ref="T606" si="187">R605-P605</f>
        <v>0</v>
      </c>
      <c r="U606" s="78"/>
      <c r="V606" s="81"/>
      <c r="W606" s="81"/>
      <c r="X606" s="81"/>
      <c r="Y606" s="84"/>
      <c r="Z606" s="34"/>
      <c r="AA606" s="29"/>
      <c r="AB606" s="29"/>
      <c r="AC606" s="97"/>
      <c r="AD606" s="104"/>
      <c r="AE606" s="102"/>
    </row>
    <row r="607" spans="1:31" ht="17.100000000000001" customHeight="1" thickBot="1" x14ac:dyDescent="0.3">
      <c r="A607" s="52"/>
      <c r="B607" s="67"/>
      <c r="C607" s="73"/>
      <c r="D607" s="74"/>
      <c r="E607" s="75"/>
      <c r="F607" s="73"/>
      <c r="G607" s="75"/>
      <c r="H607" s="60"/>
      <c r="I607" s="25"/>
      <c r="J607" s="89"/>
      <c r="K607" s="72"/>
      <c r="L607" s="19" t="s">
        <v>52</v>
      </c>
      <c r="M607" s="67"/>
      <c r="N607" s="92"/>
      <c r="O607" s="93"/>
      <c r="P607" s="92"/>
      <c r="Q607" s="93"/>
      <c r="R607" s="92"/>
      <c r="S607" s="95"/>
      <c r="T607" s="33"/>
      <c r="U607" s="79"/>
      <c r="V607" s="82"/>
      <c r="W607" s="82"/>
      <c r="X607" s="82"/>
      <c r="Y607" s="85"/>
      <c r="Z607" s="35"/>
      <c r="AA607" s="30"/>
      <c r="AB607" s="30"/>
      <c r="AC607" s="105"/>
      <c r="AD607" s="106"/>
      <c r="AE607" s="103"/>
    </row>
    <row r="609" spans="1:31" ht="17.100000000000001" customHeight="1" thickBot="1" x14ac:dyDescent="0.3"/>
    <row r="610" spans="1:31" ht="17.100000000000001" customHeight="1" x14ac:dyDescent="0.25">
      <c r="A610" s="50">
        <v>46023</v>
      </c>
      <c r="B610" s="53"/>
      <c r="C610" s="55"/>
      <c r="D610" s="56"/>
      <c r="E610" s="57"/>
      <c r="F610" s="55"/>
      <c r="G610" s="57"/>
      <c r="H610" s="58"/>
      <c r="I610" s="26"/>
      <c r="J610" s="61"/>
      <c r="K610" s="64"/>
      <c r="L610" s="11"/>
      <c r="M610" s="53"/>
      <c r="N610" s="42"/>
      <c r="O610" s="43"/>
      <c r="P610" s="36"/>
      <c r="Q610" s="43"/>
      <c r="R610" s="36"/>
      <c r="S610" s="37"/>
      <c r="T610" s="76">
        <f t="shared" ref="T610" si="188">R610-P610</f>
        <v>0</v>
      </c>
      <c r="U610" s="77"/>
      <c r="V610" s="80"/>
      <c r="W610" s="80"/>
      <c r="X610" s="80"/>
      <c r="Y610" s="83"/>
      <c r="Z610" s="86"/>
      <c r="AA610" s="48"/>
      <c r="AB610" s="48"/>
      <c r="AC610" s="96"/>
      <c r="AD610" s="99"/>
      <c r="AE610" s="101"/>
    </row>
    <row r="611" spans="1:31" ht="17.100000000000001" customHeight="1" x14ac:dyDescent="0.25">
      <c r="A611" s="51"/>
      <c r="B611" s="54"/>
      <c r="C611" s="68"/>
      <c r="D611" s="69"/>
      <c r="E611" s="70"/>
      <c r="F611" s="68"/>
      <c r="G611" s="70"/>
      <c r="H611" s="59"/>
      <c r="I611" s="24"/>
      <c r="J611" s="62"/>
      <c r="K611" s="65"/>
      <c r="L611" s="17"/>
      <c r="M611" s="54"/>
      <c r="N611" s="44"/>
      <c r="O611" s="45"/>
      <c r="P611" s="38"/>
      <c r="Q611" s="45"/>
      <c r="R611" s="38"/>
      <c r="S611" s="39"/>
      <c r="T611" s="32"/>
      <c r="U611" s="78"/>
      <c r="V611" s="81"/>
      <c r="W611" s="81"/>
      <c r="X611" s="81"/>
      <c r="Y611" s="84"/>
      <c r="Z611" s="34"/>
      <c r="AA611" s="29"/>
      <c r="AB611" s="29"/>
      <c r="AC611" s="97"/>
      <c r="AD611" s="100"/>
      <c r="AE611" s="102"/>
    </row>
    <row r="612" spans="1:31" ht="17.100000000000001" customHeight="1" x14ac:dyDescent="0.25">
      <c r="A612" s="51"/>
      <c r="B612" s="66"/>
      <c r="C612" s="68"/>
      <c r="D612" s="69"/>
      <c r="E612" s="70"/>
      <c r="F612" s="68"/>
      <c r="G612" s="70"/>
      <c r="H612" s="59"/>
      <c r="I612" s="27"/>
      <c r="J612" s="63"/>
      <c r="K612" s="71"/>
      <c r="L612" s="18"/>
      <c r="M612" s="66"/>
      <c r="N612" s="46"/>
      <c r="O612" s="47"/>
      <c r="P612" s="40"/>
      <c r="Q612" s="47"/>
      <c r="R612" s="40"/>
      <c r="S612" s="41"/>
      <c r="T612" s="31">
        <f>(P613-P610)+(R610-R613)</f>
        <v>0</v>
      </c>
      <c r="U612" s="78"/>
      <c r="V612" s="81"/>
      <c r="W612" s="81"/>
      <c r="X612" s="81"/>
      <c r="Y612" s="84"/>
      <c r="Z612" s="87"/>
      <c r="AA612" s="49"/>
      <c r="AB612" s="49"/>
      <c r="AC612" s="98"/>
      <c r="AD612" s="104"/>
      <c r="AE612" s="102"/>
    </row>
    <row r="613" spans="1:31" ht="17.100000000000001" customHeight="1" x14ac:dyDescent="0.25">
      <c r="A613" s="51"/>
      <c r="B613" s="54"/>
      <c r="C613" s="68"/>
      <c r="D613" s="69"/>
      <c r="E613" s="70"/>
      <c r="F613" s="68"/>
      <c r="G613" s="70"/>
      <c r="H613" s="59"/>
      <c r="I613" s="23"/>
      <c r="J613" s="88"/>
      <c r="K613" s="65"/>
      <c r="L613" s="18"/>
      <c r="M613" s="54"/>
      <c r="N613" s="90">
        <f>(P610-N610)+(P613-P610)+(R610-R613)</f>
        <v>0</v>
      </c>
      <c r="O613" s="91"/>
      <c r="P613" s="90"/>
      <c r="Q613" s="91"/>
      <c r="R613" s="90"/>
      <c r="S613" s="94"/>
      <c r="T613" s="32"/>
      <c r="U613" s="78"/>
      <c r="V613" s="81"/>
      <c r="W613" s="81"/>
      <c r="X613" s="81"/>
      <c r="Y613" s="84"/>
      <c r="Z613" s="34"/>
      <c r="AA613" s="28"/>
      <c r="AB613" s="28"/>
      <c r="AC613" s="97"/>
      <c r="AD613" s="100"/>
      <c r="AE613" s="102"/>
    </row>
    <row r="614" spans="1:31" ht="17.100000000000001" customHeight="1" x14ac:dyDescent="0.25">
      <c r="A614" s="51"/>
      <c r="B614" s="66"/>
      <c r="C614" s="68"/>
      <c r="D614" s="69"/>
      <c r="E614" s="70"/>
      <c r="F614" s="68"/>
      <c r="G614" s="70"/>
      <c r="H614" s="59"/>
      <c r="I614" s="24"/>
      <c r="J614" s="62"/>
      <c r="K614" s="71" t="s">
        <v>51</v>
      </c>
      <c r="L614" s="16" t="s">
        <v>51</v>
      </c>
      <c r="M614" s="66" t="s">
        <v>51</v>
      </c>
      <c r="N614" s="38"/>
      <c r="O614" s="45"/>
      <c r="P614" s="38"/>
      <c r="Q614" s="45"/>
      <c r="R614" s="38"/>
      <c r="S614" s="39"/>
      <c r="T614" s="31">
        <f t="shared" ref="T614" si="189">R613-P613</f>
        <v>0</v>
      </c>
      <c r="U614" s="78"/>
      <c r="V614" s="81"/>
      <c r="W614" s="81"/>
      <c r="X614" s="81"/>
      <c r="Y614" s="84"/>
      <c r="Z614" s="34"/>
      <c r="AA614" s="29"/>
      <c r="AB614" s="29"/>
      <c r="AC614" s="97"/>
      <c r="AD614" s="104"/>
      <c r="AE614" s="102"/>
    </row>
    <row r="615" spans="1:31" ht="17.100000000000001" customHeight="1" thickBot="1" x14ac:dyDescent="0.3">
      <c r="A615" s="52"/>
      <c r="B615" s="67"/>
      <c r="C615" s="73"/>
      <c r="D615" s="74"/>
      <c r="E615" s="75"/>
      <c r="F615" s="73"/>
      <c r="G615" s="75"/>
      <c r="H615" s="60"/>
      <c r="I615" s="25"/>
      <c r="J615" s="89"/>
      <c r="K615" s="72"/>
      <c r="L615" s="19" t="s">
        <v>52</v>
      </c>
      <c r="M615" s="67"/>
      <c r="N615" s="92"/>
      <c r="O615" s="93"/>
      <c r="P615" s="92"/>
      <c r="Q615" s="93"/>
      <c r="R615" s="92"/>
      <c r="S615" s="95"/>
      <c r="T615" s="33"/>
      <c r="U615" s="79"/>
      <c r="V615" s="82"/>
      <c r="W615" s="82"/>
      <c r="X615" s="82"/>
      <c r="Y615" s="85"/>
      <c r="Z615" s="35"/>
      <c r="AA615" s="30"/>
      <c r="AB615" s="30"/>
      <c r="AC615" s="105"/>
      <c r="AD615" s="106"/>
      <c r="AE615" s="103"/>
    </row>
    <row r="616" spans="1:31" ht="17.100000000000001" customHeight="1" x14ac:dyDescent="0.25">
      <c r="A616" s="50">
        <v>46023</v>
      </c>
      <c r="B616" s="53"/>
      <c r="C616" s="55"/>
      <c r="D616" s="56"/>
      <c r="E616" s="57"/>
      <c r="F616" s="55"/>
      <c r="G616" s="57"/>
      <c r="H616" s="58"/>
      <c r="I616" s="26"/>
      <c r="J616" s="61"/>
      <c r="K616" s="64"/>
      <c r="L616" s="11"/>
      <c r="M616" s="53"/>
      <c r="N616" s="42"/>
      <c r="O616" s="43"/>
      <c r="P616" s="36"/>
      <c r="Q616" s="43"/>
      <c r="R616" s="36"/>
      <c r="S616" s="37"/>
      <c r="T616" s="76">
        <f t="shared" ref="T616" si="190">R616-P616</f>
        <v>0</v>
      </c>
      <c r="U616" s="77"/>
      <c r="V616" s="80"/>
      <c r="W616" s="80"/>
      <c r="X616" s="80"/>
      <c r="Y616" s="83"/>
      <c r="Z616" s="86"/>
      <c r="AA616" s="48"/>
      <c r="AB616" s="48"/>
      <c r="AC616" s="96"/>
      <c r="AD616" s="99"/>
      <c r="AE616" s="101"/>
    </row>
    <row r="617" spans="1:31" ht="17.100000000000001" customHeight="1" x14ac:dyDescent="0.25">
      <c r="A617" s="51"/>
      <c r="B617" s="54"/>
      <c r="C617" s="68"/>
      <c r="D617" s="69"/>
      <c r="E617" s="70"/>
      <c r="F617" s="68"/>
      <c r="G617" s="70"/>
      <c r="H617" s="59"/>
      <c r="I617" s="24"/>
      <c r="J617" s="62"/>
      <c r="K617" s="65"/>
      <c r="L617" s="17"/>
      <c r="M617" s="54"/>
      <c r="N617" s="44"/>
      <c r="O617" s="45"/>
      <c r="P617" s="38"/>
      <c r="Q617" s="45"/>
      <c r="R617" s="38"/>
      <c r="S617" s="39"/>
      <c r="T617" s="32"/>
      <c r="U617" s="78"/>
      <c r="V617" s="81"/>
      <c r="W617" s="81"/>
      <c r="X617" s="81"/>
      <c r="Y617" s="84"/>
      <c r="Z617" s="34"/>
      <c r="AA617" s="29"/>
      <c r="AB617" s="29"/>
      <c r="AC617" s="97"/>
      <c r="AD617" s="100"/>
      <c r="AE617" s="102"/>
    </row>
    <row r="618" spans="1:31" ht="17.100000000000001" customHeight="1" x14ac:dyDescent="0.25">
      <c r="A618" s="51"/>
      <c r="B618" s="66"/>
      <c r="C618" s="68"/>
      <c r="D618" s="69"/>
      <c r="E618" s="70"/>
      <c r="F618" s="68"/>
      <c r="G618" s="70"/>
      <c r="H618" s="59"/>
      <c r="I618" s="27"/>
      <c r="J618" s="63"/>
      <c r="K618" s="71"/>
      <c r="L618" s="18"/>
      <c r="M618" s="66"/>
      <c r="N618" s="46"/>
      <c r="O618" s="47"/>
      <c r="P618" s="40"/>
      <c r="Q618" s="47"/>
      <c r="R618" s="40"/>
      <c r="S618" s="41"/>
      <c r="T618" s="31">
        <f>(P619-P616)+(R616-R619)</f>
        <v>0</v>
      </c>
      <c r="U618" s="78"/>
      <c r="V618" s="81"/>
      <c r="W618" s="81"/>
      <c r="X618" s="81"/>
      <c r="Y618" s="84"/>
      <c r="Z618" s="87"/>
      <c r="AA618" s="49"/>
      <c r="AB618" s="49"/>
      <c r="AC618" s="98"/>
      <c r="AD618" s="104"/>
      <c r="AE618" s="102"/>
    </row>
    <row r="619" spans="1:31" ht="17.100000000000001" customHeight="1" x14ac:dyDescent="0.25">
      <c r="A619" s="51"/>
      <c r="B619" s="54"/>
      <c r="C619" s="68"/>
      <c r="D619" s="69"/>
      <c r="E619" s="70"/>
      <c r="F619" s="68"/>
      <c r="G619" s="70"/>
      <c r="H619" s="59"/>
      <c r="I619" s="23"/>
      <c r="J619" s="88"/>
      <c r="K619" s="65"/>
      <c r="L619" s="18"/>
      <c r="M619" s="54"/>
      <c r="N619" s="90">
        <f>(P616-N616)+(P619-P616)+(R616-R619)</f>
        <v>0</v>
      </c>
      <c r="O619" s="91"/>
      <c r="P619" s="90"/>
      <c r="Q619" s="91"/>
      <c r="R619" s="90"/>
      <c r="S619" s="94"/>
      <c r="T619" s="32"/>
      <c r="U619" s="78"/>
      <c r="V619" s="81"/>
      <c r="W619" s="81"/>
      <c r="X619" s="81"/>
      <c r="Y619" s="84"/>
      <c r="Z619" s="34"/>
      <c r="AA619" s="28"/>
      <c r="AB619" s="28"/>
      <c r="AC619" s="97"/>
      <c r="AD619" s="100"/>
      <c r="AE619" s="102"/>
    </row>
    <row r="620" spans="1:31" ht="17.100000000000001" customHeight="1" x14ac:dyDescent="0.25">
      <c r="A620" s="51"/>
      <c r="B620" s="66"/>
      <c r="C620" s="68"/>
      <c r="D620" s="69"/>
      <c r="E620" s="70"/>
      <c r="F620" s="68"/>
      <c r="G620" s="70"/>
      <c r="H620" s="59"/>
      <c r="I620" s="24"/>
      <c r="J620" s="62"/>
      <c r="K620" s="71" t="s">
        <v>51</v>
      </c>
      <c r="L620" s="16" t="s">
        <v>51</v>
      </c>
      <c r="M620" s="66" t="s">
        <v>51</v>
      </c>
      <c r="N620" s="38"/>
      <c r="O620" s="45"/>
      <c r="P620" s="38"/>
      <c r="Q620" s="45"/>
      <c r="R620" s="38"/>
      <c r="S620" s="39"/>
      <c r="T620" s="31">
        <f t="shared" ref="T620" si="191">R619-P619</f>
        <v>0</v>
      </c>
      <c r="U620" s="78"/>
      <c r="V620" s="81"/>
      <c r="W620" s="81"/>
      <c r="X620" s="81"/>
      <c r="Y620" s="84"/>
      <c r="Z620" s="34"/>
      <c r="AA620" s="29"/>
      <c r="AB620" s="29"/>
      <c r="AC620" s="97"/>
      <c r="AD620" s="104"/>
      <c r="AE620" s="102"/>
    </row>
    <row r="621" spans="1:31" ht="17.100000000000001" customHeight="1" thickBot="1" x14ac:dyDescent="0.3">
      <c r="A621" s="52"/>
      <c r="B621" s="67"/>
      <c r="C621" s="73"/>
      <c r="D621" s="74"/>
      <c r="E621" s="75"/>
      <c r="F621" s="73"/>
      <c r="G621" s="75"/>
      <c r="H621" s="60"/>
      <c r="I621" s="25"/>
      <c r="J621" s="89"/>
      <c r="K621" s="72"/>
      <c r="L621" s="19" t="s">
        <v>52</v>
      </c>
      <c r="M621" s="67"/>
      <c r="N621" s="92"/>
      <c r="O621" s="93"/>
      <c r="P621" s="92"/>
      <c r="Q621" s="93"/>
      <c r="R621" s="92"/>
      <c r="S621" s="95"/>
      <c r="T621" s="33"/>
      <c r="U621" s="79"/>
      <c r="V621" s="82"/>
      <c r="W621" s="82"/>
      <c r="X621" s="82"/>
      <c r="Y621" s="85"/>
      <c r="Z621" s="35"/>
      <c r="AA621" s="30"/>
      <c r="AB621" s="30"/>
      <c r="AC621" s="105"/>
      <c r="AD621" s="106"/>
      <c r="AE621" s="103"/>
    </row>
    <row r="622" spans="1:31" ht="17.100000000000001" customHeight="1" x14ac:dyDescent="0.25">
      <c r="A622" s="50">
        <v>46023</v>
      </c>
      <c r="B622" s="53"/>
      <c r="C622" s="55"/>
      <c r="D622" s="56"/>
      <c r="E622" s="57"/>
      <c r="F622" s="55"/>
      <c r="G622" s="57"/>
      <c r="H622" s="58"/>
      <c r="I622" s="26"/>
      <c r="J622" s="61"/>
      <c r="K622" s="64"/>
      <c r="L622" s="11"/>
      <c r="M622" s="53"/>
      <c r="N622" s="42"/>
      <c r="O622" s="43"/>
      <c r="P622" s="36"/>
      <c r="Q622" s="43"/>
      <c r="R622" s="36"/>
      <c r="S622" s="37"/>
      <c r="T622" s="76">
        <f t="shared" ref="T622" si="192">R622-P622</f>
        <v>0</v>
      </c>
      <c r="U622" s="77"/>
      <c r="V622" s="80"/>
      <c r="W622" s="80"/>
      <c r="X622" s="80"/>
      <c r="Y622" s="83"/>
      <c r="Z622" s="86"/>
      <c r="AA622" s="48"/>
      <c r="AB622" s="48"/>
      <c r="AC622" s="96"/>
      <c r="AD622" s="99"/>
      <c r="AE622" s="101"/>
    </row>
    <row r="623" spans="1:31" ht="17.100000000000001" customHeight="1" x14ac:dyDescent="0.25">
      <c r="A623" s="51"/>
      <c r="B623" s="54"/>
      <c r="C623" s="68"/>
      <c r="D623" s="69"/>
      <c r="E623" s="70"/>
      <c r="F623" s="68"/>
      <c r="G623" s="70"/>
      <c r="H623" s="59"/>
      <c r="I623" s="24"/>
      <c r="J623" s="62"/>
      <c r="K623" s="65"/>
      <c r="L623" s="17"/>
      <c r="M623" s="54"/>
      <c r="N623" s="44"/>
      <c r="O623" s="45"/>
      <c r="P623" s="38"/>
      <c r="Q623" s="45"/>
      <c r="R623" s="38"/>
      <c r="S623" s="39"/>
      <c r="T623" s="32"/>
      <c r="U623" s="78"/>
      <c r="V623" s="81"/>
      <c r="W623" s="81"/>
      <c r="X623" s="81"/>
      <c r="Y623" s="84"/>
      <c r="Z623" s="34"/>
      <c r="AA623" s="29"/>
      <c r="AB623" s="29"/>
      <c r="AC623" s="97"/>
      <c r="AD623" s="100"/>
      <c r="AE623" s="102"/>
    </row>
    <row r="624" spans="1:31" ht="17.100000000000001" customHeight="1" x14ac:dyDescent="0.25">
      <c r="A624" s="51"/>
      <c r="B624" s="66"/>
      <c r="C624" s="68"/>
      <c r="D624" s="69"/>
      <c r="E624" s="70"/>
      <c r="F624" s="68"/>
      <c r="G624" s="70"/>
      <c r="H624" s="59"/>
      <c r="I624" s="27"/>
      <c r="J624" s="63"/>
      <c r="K624" s="71"/>
      <c r="L624" s="18"/>
      <c r="M624" s="66"/>
      <c r="N624" s="46"/>
      <c r="O624" s="47"/>
      <c r="P624" s="40"/>
      <c r="Q624" s="47"/>
      <c r="R624" s="40"/>
      <c r="S624" s="41"/>
      <c r="T624" s="31">
        <f>(P625-P622)+(R622-R625)</f>
        <v>0</v>
      </c>
      <c r="U624" s="78"/>
      <c r="V624" s="81"/>
      <c r="W624" s="81"/>
      <c r="X624" s="81"/>
      <c r="Y624" s="84"/>
      <c r="Z624" s="87"/>
      <c r="AA624" s="49"/>
      <c r="AB624" s="49"/>
      <c r="AC624" s="98"/>
      <c r="AD624" s="104"/>
      <c r="AE624" s="102"/>
    </row>
    <row r="625" spans="1:31" ht="17.100000000000001" customHeight="1" x14ac:dyDescent="0.25">
      <c r="A625" s="51"/>
      <c r="B625" s="54"/>
      <c r="C625" s="68"/>
      <c r="D625" s="69"/>
      <c r="E625" s="70"/>
      <c r="F625" s="68"/>
      <c r="G625" s="70"/>
      <c r="H625" s="59"/>
      <c r="I625" s="23"/>
      <c r="J625" s="88"/>
      <c r="K625" s="65"/>
      <c r="L625" s="18"/>
      <c r="M625" s="54"/>
      <c r="N625" s="90">
        <f>(P622-N622)+(P625-P622)+(R622-R625)</f>
        <v>0</v>
      </c>
      <c r="O625" s="91"/>
      <c r="P625" s="90"/>
      <c r="Q625" s="91"/>
      <c r="R625" s="90"/>
      <c r="S625" s="94"/>
      <c r="T625" s="32"/>
      <c r="U625" s="78"/>
      <c r="V625" s="81"/>
      <c r="W625" s="81"/>
      <c r="X625" s="81"/>
      <c r="Y625" s="84"/>
      <c r="Z625" s="34"/>
      <c r="AA625" s="28"/>
      <c r="AB625" s="28"/>
      <c r="AC625" s="97"/>
      <c r="AD625" s="100"/>
      <c r="AE625" s="102"/>
    </row>
    <row r="626" spans="1:31" ht="17.100000000000001" customHeight="1" x14ac:dyDescent="0.25">
      <c r="A626" s="51"/>
      <c r="B626" s="66"/>
      <c r="C626" s="68"/>
      <c r="D626" s="69"/>
      <c r="E626" s="70"/>
      <c r="F626" s="68"/>
      <c r="G626" s="70"/>
      <c r="H626" s="59"/>
      <c r="I626" s="24"/>
      <c r="J626" s="62"/>
      <c r="K626" s="71" t="s">
        <v>51</v>
      </c>
      <c r="L626" s="16" t="s">
        <v>51</v>
      </c>
      <c r="M626" s="66" t="s">
        <v>51</v>
      </c>
      <c r="N626" s="38"/>
      <c r="O626" s="45"/>
      <c r="P626" s="38"/>
      <c r="Q626" s="45"/>
      <c r="R626" s="38"/>
      <c r="S626" s="39"/>
      <c r="T626" s="31">
        <f t="shared" ref="T626" si="193">R625-P625</f>
        <v>0</v>
      </c>
      <c r="U626" s="78"/>
      <c r="V626" s="81"/>
      <c r="W626" s="81"/>
      <c r="X626" s="81"/>
      <c r="Y626" s="84"/>
      <c r="Z626" s="34"/>
      <c r="AA626" s="29"/>
      <c r="AB626" s="29"/>
      <c r="AC626" s="97"/>
      <c r="AD626" s="104"/>
      <c r="AE626" s="102"/>
    </row>
    <row r="627" spans="1:31" ht="17.100000000000001" customHeight="1" thickBot="1" x14ac:dyDescent="0.3">
      <c r="A627" s="52"/>
      <c r="B627" s="67"/>
      <c r="C627" s="73"/>
      <c r="D627" s="74"/>
      <c r="E627" s="75"/>
      <c r="F627" s="73"/>
      <c r="G627" s="75"/>
      <c r="H627" s="60"/>
      <c r="I627" s="25"/>
      <c r="J627" s="89"/>
      <c r="K627" s="72"/>
      <c r="L627" s="19" t="s">
        <v>52</v>
      </c>
      <c r="M627" s="67"/>
      <c r="N627" s="92"/>
      <c r="O627" s="93"/>
      <c r="P627" s="92"/>
      <c r="Q627" s="93"/>
      <c r="R627" s="92"/>
      <c r="S627" s="95"/>
      <c r="T627" s="33"/>
      <c r="U627" s="79"/>
      <c r="V627" s="82"/>
      <c r="W627" s="82"/>
      <c r="X627" s="82"/>
      <c r="Y627" s="85"/>
      <c r="Z627" s="35"/>
      <c r="AA627" s="30"/>
      <c r="AB627" s="30"/>
      <c r="AC627" s="105"/>
      <c r="AD627" s="106"/>
      <c r="AE627" s="103"/>
    </row>
    <row r="628" spans="1:31" ht="17.100000000000001" customHeight="1" x14ac:dyDescent="0.25">
      <c r="A628" s="50">
        <v>46023</v>
      </c>
      <c r="B628" s="53"/>
      <c r="C628" s="55"/>
      <c r="D628" s="56"/>
      <c r="E628" s="57"/>
      <c r="F628" s="55"/>
      <c r="G628" s="57"/>
      <c r="H628" s="58"/>
      <c r="I628" s="26"/>
      <c r="J628" s="61"/>
      <c r="K628" s="64"/>
      <c r="L628" s="11"/>
      <c r="M628" s="53"/>
      <c r="N628" s="42"/>
      <c r="O628" s="43"/>
      <c r="P628" s="36"/>
      <c r="Q628" s="43"/>
      <c r="R628" s="36"/>
      <c r="S628" s="37"/>
      <c r="T628" s="76">
        <f t="shared" ref="T628" si="194">R628-P628</f>
        <v>0</v>
      </c>
      <c r="U628" s="77"/>
      <c r="V628" s="80"/>
      <c r="W628" s="80"/>
      <c r="X628" s="80"/>
      <c r="Y628" s="83"/>
      <c r="Z628" s="86"/>
      <c r="AA628" s="48"/>
      <c r="AB628" s="48"/>
      <c r="AC628" s="96"/>
      <c r="AD628" s="99"/>
      <c r="AE628" s="101"/>
    </row>
    <row r="629" spans="1:31" ht="17.100000000000001" customHeight="1" x14ac:dyDescent="0.25">
      <c r="A629" s="51"/>
      <c r="B629" s="54"/>
      <c r="C629" s="68"/>
      <c r="D629" s="69"/>
      <c r="E629" s="70"/>
      <c r="F629" s="68"/>
      <c r="G629" s="70"/>
      <c r="H629" s="59"/>
      <c r="I629" s="24"/>
      <c r="J629" s="62"/>
      <c r="K629" s="65"/>
      <c r="L629" s="17"/>
      <c r="M629" s="54"/>
      <c r="N629" s="44"/>
      <c r="O629" s="45"/>
      <c r="P629" s="38"/>
      <c r="Q629" s="45"/>
      <c r="R629" s="38"/>
      <c r="S629" s="39"/>
      <c r="T629" s="32"/>
      <c r="U629" s="78"/>
      <c r="V629" s="81"/>
      <c r="W629" s="81"/>
      <c r="X629" s="81"/>
      <c r="Y629" s="84"/>
      <c r="Z629" s="34"/>
      <c r="AA629" s="29"/>
      <c r="AB629" s="29"/>
      <c r="AC629" s="97"/>
      <c r="AD629" s="100"/>
      <c r="AE629" s="102"/>
    </row>
    <row r="630" spans="1:31" ht="17.100000000000001" customHeight="1" x14ac:dyDescent="0.25">
      <c r="A630" s="51"/>
      <c r="B630" s="66"/>
      <c r="C630" s="68"/>
      <c r="D630" s="69"/>
      <c r="E630" s="70"/>
      <c r="F630" s="68"/>
      <c r="G630" s="70"/>
      <c r="H630" s="59"/>
      <c r="I630" s="27"/>
      <c r="J630" s="63"/>
      <c r="K630" s="71"/>
      <c r="L630" s="18"/>
      <c r="M630" s="66"/>
      <c r="N630" s="46"/>
      <c r="O630" s="47"/>
      <c r="P630" s="40"/>
      <c r="Q630" s="47"/>
      <c r="R630" s="40"/>
      <c r="S630" s="41"/>
      <c r="T630" s="31">
        <f>(P631-P628)+(R628-R631)</f>
        <v>0</v>
      </c>
      <c r="U630" s="78"/>
      <c r="V630" s="81"/>
      <c r="W630" s="81"/>
      <c r="X630" s="81"/>
      <c r="Y630" s="84"/>
      <c r="Z630" s="87"/>
      <c r="AA630" s="49"/>
      <c r="AB630" s="49"/>
      <c r="AC630" s="98"/>
      <c r="AD630" s="104"/>
      <c r="AE630" s="102"/>
    </row>
    <row r="631" spans="1:31" ht="17.100000000000001" customHeight="1" x14ac:dyDescent="0.25">
      <c r="A631" s="51"/>
      <c r="B631" s="54"/>
      <c r="C631" s="68"/>
      <c r="D631" s="69"/>
      <c r="E631" s="70"/>
      <c r="F631" s="68"/>
      <c r="G631" s="70"/>
      <c r="H631" s="59"/>
      <c r="I631" s="23"/>
      <c r="J631" s="88"/>
      <c r="K631" s="65"/>
      <c r="L631" s="18"/>
      <c r="M631" s="54"/>
      <c r="N631" s="90">
        <f>(P628-N628)+(P631-P628)+(R628-R631)</f>
        <v>0</v>
      </c>
      <c r="O631" s="91"/>
      <c r="P631" s="90"/>
      <c r="Q631" s="91"/>
      <c r="R631" s="90"/>
      <c r="S631" s="94"/>
      <c r="T631" s="32"/>
      <c r="U631" s="78"/>
      <c r="V631" s="81"/>
      <c r="W631" s="81"/>
      <c r="X631" s="81"/>
      <c r="Y631" s="84"/>
      <c r="Z631" s="34"/>
      <c r="AA631" s="28"/>
      <c r="AB631" s="28"/>
      <c r="AC631" s="97"/>
      <c r="AD631" s="100"/>
      <c r="AE631" s="102"/>
    </row>
    <row r="632" spans="1:31" ht="17.100000000000001" customHeight="1" x14ac:dyDescent="0.25">
      <c r="A632" s="51"/>
      <c r="B632" s="66"/>
      <c r="C632" s="68"/>
      <c r="D632" s="69"/>
      <c r="E632" s="70"/>
      <c r="F632" s="68"/>
      <c r="G632" s="70"/>
      <c r="H632" s="59"/>
      <c r="I632" s="24"/>
      <c r="J632" s="62"/>
      <c r="K632" s="71" t="s">
        <v>51</v>
      </c>
      <c r="L632" s="16" t="s">
        <v>51</v>
      </c>
      <c r="M632" s="66" t="s">
        <v>51</v>
      </c>
      <c r="N632" s="38"/>
      <c r="O632" s="45"/>
      <c r="P632" s="38"/>
      <c r="Q632" s="45"/>
      <c r="R632" s="38"/>
      <c r="S632" s="39"/>
      <c r="T632" s="31">
        <f t="shared" ref="T632" si="195">R631-P631</f>
        <v>0</v>
      </c>
      <c r="U632" s="78"/>
      <c r="V632" s="81"/>
      <c r="W632" s="81"/>
      <c r="X632" s="81"/>
      <c r="Y632" s="84"/>
      <c r="Z632" s="34"/>
      <c r="AA632" s="29"/>
      <c r="AB632" s="29"/>
      <c r="AC632" s="97"/>
      <c r="AD632" s="104"/>
      <c r="AE632" s="102"/>
    </row>
    <row r="633" spans="1:31" ht="17.100000000000001" customHeight="1" thickBot="1" x14ac:dyDescent="0.3">
      <c r="A633" s="52"/>
      <c r="B633" s="67"/>
      <c r="C633" s="73"/>
      <c r="D633" s="74"/>
      <c r="E633" s="75"/>
      <c r="F633" s="73"/>
      <c r="G633" s="75"/>
      <c r="H633" s="60"/>
      <c r="I633" s="25"/>
      <c r="J633" s="89"/>
      <c r="K633" s="72"/>
      <c r="L633" s="19" t="s">
        <v>52</v>
      </c>
      <c r="M633" s="67"/>
      <c r="N633" s="92"/>
      <c r="O633" s="93"/>
      <c r="P633" s="92"/>
      <c r="Q633" s="93"/>
      <c r="R633" s="92"/>
      <c r="S633" s="95"/>
      <c r="T633" s="33"/>
      <c r="U633" s="79"/>
      <c r="V633" s="82"/>
      <c r="W633" s="82"/>
      <c r="X633" s="82"/>
      <c r="Y633" s="85"/>
      <c r="Z633" s="35"/>
      <c r="AA633" s="30"/>
      <c r="AB633" s="30"/>
      <c r="AC633" s="105"/>
      <c r="AD633" s="106"/>
      <c r="AE633" s="103"/>
    </row>
    <row r="634" spans="1:31" ht="17.100000000000001" customHeight="1" x14ac:dyDescent="0.25">
      <c r="A634" s="50">
        <v>46023</v>
      </c>
      <c r="B634" s="53"/>
      <c r="C634" s="55"/>
      <c r="D634" s="56"/>
      <c r="E634" s="57"/>
      <c r="F634" s="55"/>
      <c r="G634" s="57"/>
      <c r="H634" s="58"/>
      <c r="I634" s="26"/>
      <c r="J634" s="61"/>
      <c r="K634" s="64"/>
      <c r="L634" s="11"/>
      <c r="M634" s="53"/>
      <c r="N634" s="42"/>
      <c r="O634" s="43"/>
      <c r="P634" s="36"/>
      <c r="Q634" s="43"/>
      <c r="R634" s="36"/>
      <c r="S634" s="37"/>
      <c r="T634" s="76">
        <f t="shared" ref="T634" si="196">R634-P634</f>
        <v>0</v>
      </c>
      <c r="U634" s="77"/>
      <c r="V634" s="80"/>
      <c r="W634" s="80"/>
      <c r="X634" s="80"/>
      <c r="Y634" s="83"/>
      <c r="Z634" s="86"/>
      <c r="AA634" s="48"/>
      <c r="AB634" s="48"/>
      <c r="AC634" s="96"/>
      <c r="AD634" s="99"/>
      <c r="AE634" s="101"/>
    </row>
    <row r="635" spans="1:31" ht="17.100000000000001" customHeight="1" x14ac:dyDescent="0.25">
      <c r="A635" s="51"/>
      <c r="B635" s="54"/>
      <c r="C635" s="68"/>
      <c r="D635" s="69"/>
      <c r="E635" s="70"/>
      <c r="F635" s="68"/>
      <c r="G635" s="70"/>
      <c r="H635" s="59"/>
      <c r="I635" s="24"/>
      <c r="J635" s="62"/>
      <c r="K635" s="65"/>
      <c r="L635" s="17"/>
      <c r="M635" s="54"/>
      <c r="N635" s="44"/>
      <c r="O635" s="45"/>
      <c r="P635" s="38"/>
      <c r="Q635" s="45"/>
      <c r="R635" s="38"/>
      <c r="S635" s="39"/>
      <c r="T635" s="32"/>
      <c r="U635" s="78"/>
      <c r="V635" s="81"/>
      <c r="W635" s="81"/>
      <c r="X635" s="81"/>
      <c r="Y635" s="84"/>
      <c r="Z635" s="34"/>
      <c r="AA635" s="29"/>
      <c r="AB635" s="29"/>
      <c r="AC635" s="97"/>
      <c r="AD635" s="100"/>
      <c r="AE635" s="102"/>
    </row>
    <row r="636" spans="1:31" ht="17.100000000000001" customHeight="1" x14ac:dyDescent="0.25">
      <c r="A636" s="51"/>
      <c r="B636" s="66"/>
      <c r="C636" s="68"/>
      <c r="D636" s="69"/>
      <c r="E636" s="70"/>
      <c r="F636" s="68"/>
      <c r="G636" s="70"/>
      <c r="H636" s="59"/>
      <c r="I636" s="27"/>
      <c r="J636" s="63"/>
      <c r="K636" s="71"/>
      <c r="L636" s="18"/>
      <c r="M636" s="66"/>
      <c r="N636" s="46"/>
      <c r="O636" s="47"/>
      <c r="P636" s="40"/>
      <c r="Q636" s="47"/>
      <c r="R636" s="40"/>
      <c r="S636" s="41"/>
      <c r="T636" s="31">
        <f>(P637-P634)+(R634-R637)</f>
        <v>0</v>
      </c>
      <c r="U636" s="78"/>
      <c r="V636" s="81"/>
      <c r="W636" s="81"/>
      <c r="X636" s="81"/>
      <c r="Y636" s="84"/>
      <c r="Z636" s="87"/>
      <c r="AA636" s="49"/>
      <c r="AB636" s="49"/>
      <c r="AC636" s="98"/>
      <c r="AD636" s="104"/>
      <c r="AE636" s="102"/>
    </row>
    <row r="637" spans="1:31" ht="17.100000000000001" customHeight="1" x14ac:dyDescent="0.25">
      <c r="A637" s="51"/>
      <c r="B637" s="54"/>
      <c r="C637" s="68"/>
      <c r="D637" s="69"/>
      <c r="E637" s="70"/>
      <c r="F637" s="68"/>
      <c r="G637" s="70"/>
      <c r="H637" s="59"/>
      <c r="I637" s="23"/>
      <c r="J637" s="88"/>
      <c r="K637" s="65"/>
      <c r="L637" s="18"/>
      <c r="M637" s="54"/>
      <c r="N637" s="90">
        <f>(P634-N634)+(P637-P634)+(R634-R637)</f>
        <v>0</v>
      </c>
      <c r="O637" s="91"/>
      <c r="P637" s="90"/>
      <c r="Q637" s="91"/>
      <c r="R637" s="90"/>
      <c r="S637" s="94"/>
      <c r="T637" s="32"/>
      <c r="U637" s="78"/>
      <c r="V637" s="81"/>
      <c r="W637" s="81"/>
      <c r="X637" s="81"/>
      <c r="Y637" s="84"/>
      <c r="Z637" s="34"/>
      <c r="AA637" s="28"/>
      <c r="AB637" s="28"/>
      <c r="AC637" s="97"/>
      <c r="AD637" s="100"/>
      <c r="AE637" s="102"/>
    </row>
    <row r="638" spans="1:31" ht="17.100000000000001" customHeight="1" x14ac:dyDescent="0.25">
      <c r="A638" s="51"/>
      <c r="B638" s="66"/>
      <c r="C638" s="68"/>
      <c r="D638" s="69"/>
      <c r="E638" s="70"/>
      <c r="F638" s="68"/>
      <c r="G638" s="70"/>
      <c r="H638" s="59"/>
      <c r="I638" s="24"/>
      <c r="J638" s="62"/>
      <c r="K638" s="71" t="s">
        <v>51</v>
      </c>
      <c r="L638" s="16" t="s">
        <v>51</v>
      </c>
      <c r="M638" s="66" t="s">
        <v>51</v>
      </c>
      <c r="N638" s="38"/>
      <c r="O638" s="45"/>
      <c r="P638" s="38"/>
      <c r="Q638" s="45"/>
      <c r="R638" s="38"/>
      <c r="S638" s="39"/>
      <c r="T638" s="31">
        <f t="shared" ref="T638" si="197">R637-P637</f>
        <v>0</v>
      </c>
      <c r="U638" s="78"/>
      <c r="V638" s="81"/>
      <c r="W638" s="81"/>
      <c r="X638" s="81"/>
      <c r="Y638" s="84"/>
      <c r="Z638" s="34"/>
      <c r="AA638" s="29"/>
      <c r="AB638" s="29"/>
      <c r="AC638" s="97"/>
      <c r="AD638" s="104"/>
      <c r="AE638" s="102"/>
    </row>
    <row r="639" spans="1:31" ht="17.100000000000001" customHeight="1" thickBot="1" x14ac:dyDescent="0.3">
      <c r="A639" s="52"/>
      <c r="B639" s="67"/>
      <c r="C639" s="73"/>
      <c r="D639" s="74"/>
      <c r="E639" s="75"/>
      <c r="F639" s="73"/>
      <c r="G639" s="75"/>
      <c r="H639" s="60"/>
      <c r="I639" s="25"/>
      <c r="J639" s="89"/>
      <c r="K639" s="72"/>
      <c r="L639" s="19" t="s">
        <v>52</v>
      </c>
      <c r="M639" s="67"/>
      <c r="N639" s="92"/>
      <c r="O639" s="93"/>
      <c r="P639" s="92"/>
      <c r="Q639" s="93"/>
      <c r="R639" s="92"/>
      <c r="S639" s="95"/>
      <c r="T639" s="33"/>
      <c r="U639" s="79"/>
      <c r="V639" s="82"/>
      <c r="W639" s="82"/>
      <c r="X639" s="82"/>
      <c r="Y639" s="85"/>
      <c r="Z639" s="35"/>
      <c r="AA639" s="30"/>
      <c r="AB639" s="30"/>
      <c r="AC639" s="105"/>
      <c r="AD639" s="106"/>
      <c r="AE639" s="103"/>
    </row>
    <row r="641" spans="1:31" ht="17.100000000000001" customHeight="1" thickBot="1" x14ac:dyDescent="0.3"/>
    <row r="642" spans="1:31" ht="17.100000000000001" customHeight="1" x14ac:dyDescent="0.25">
      <c r="A642" s="50">
        <v>46023</v>
      </c>
      <c r="B642" s="53"/>
      <c r="C642" s="55"/>
      <c r="D642" s="56"/>
      <c r="E642" s="57"/>
      <c r="F642" s="55"/>
      <c r="G642" s="57"/>
      <c r="H642" s="58"/>
      <c r="I642" s="26"/>
      <c r="J642" s="61"/>
      <c r="K642" s="64"/>
      <c r="L642" s="11"/>
      <c r="M642" s="53"/>
      <c r="N642" s="42"/>
      <c r="O642" s="43"/>
      <c r="P642" s="36"/>
      <c r="Q642" s="43"/>
      <c r="R642" s="36"/>
      <c r="S642" s="37"/>
      <c r="T642" s="76">
        <f t="shared" ref="T642" si="198">R642-P642</f>
        <v>0</v>
      </c>
      <c r="U642" s="77"/>
      <c r="V642" s="80"/>
      <c r="W642" s="80"/>
      <c r="X642" s="80"/>
      <c r="Y642" s="83"/>
      <c r="Z642" s="86"/>
      <c r="AA642" s="48"/>
      <c r="AB642" s="48"/>
      <c r="AC642" s="96"/>
      <c r="AD642" s="99"/>
      <c r="AE642" s="101"/>
    </row>
    <row r="643" spans="1:31" ht="17.100000000000001" customHeight="1" x14ac:dyDescent="0.25">
      <c r="A643" s="51"/>
      <c r="B643" s="54"/>
      <c r="C643" s="68"/>
      <c r="D643" s="69"/>
      <c r="E643" s="70"/>
      <c r="F643" s="68"/>
      <c r="G643" s="70"/>
      <c r="H643" s="59"/>
      <c r="I643" s="24"/>
      <c r="J643" s="62"/>
      <c r="K643" s="65"/>
      <c r="L643" s="17"/>
      <c r="M643" s="54"/>
      <c r="N643" s="44"/>
      <c r="O643" s="45"/>
      <c r="P643" s="38"/>
      <c r="Q643" s="45"/>
      <c r="R643" s="38"/>
      <c r="S643" s="39"/>
      <c r="T643" s="32"/>
      <c r="U643" s="78"/>
      <c r="V643" s="81"/>
      <c r="W643" s="81"/>
      <c r="X643" s="81"/>
      <c r="Y643" s="84"/>
      <c r="Z643" s="34"/>
      <c r="AA643" s="29"/>
      <c r="AB643" s="29"/>
      <c r="AC643" s="97"/>
      <c r="AD643" s="100"/>
      <c r="AE643" s="102"/>
    </row>
    <row r="644" spans="1:31" ht="17.100000000000001" customHeight="1" x14ac:dyDescent="0.25">
      <c r="A644" s="51"/>
      <c r="B644" s="66"/>
      <c r="C644" s="68"/>
      <c r="D644" s="69"/>
      <c r="E644" s="70"/>
      <c r="F644" s="68"/>
      <c r="G644" s="70"/>
      <c r="H644" s="59"/>
      <c r="I644" s="27"/>
      <c r="J644" s="63"/>
      <c r="K644" s="71"/>
      <c r="L644" s="18"/>
      <c r="M644" s="66"/>
      <c r="N644" s="46"/>
      <c r="O644" s="47"/>
      <c r="P644" s="40"/>
      <c r="Q644" s="47"/>
      <c r="R644" s="40"/>
      <c r="S644" s="41"/>
      <c r="T644" s="31">
        <f>(P645-P642)+(R642-R645)</f>
        <v>0</v>
      </c>
      <c r="U644" s="78"/>
      <c r="V644" s="81"/>
      <c r="W644" s="81"/>
      <c r="X644" s="81"/>
      <c r="Y644" s="84"/>
      <c r="Z644" s="87"/>
      <c r="AA644" s="49"/>
      <c r="AB644" s="49"/>
      <c r="AC644" s="98"/>
      <c r="AD644" s="104"/>
      <c r="AE644" s="102"/>
    </row>
    <row r="645" spans="1:31" ht="17.100000000000001" customHeight="1" x14ac:dyDescent="0.25">
      <c r="A645" s="51"/>
      <c r="B645" s="54"/>
      <c r="C645" s="68"/>
      <c r="D645" s="69"/>
      <c r="E645" s="70"/>
      <c r="F645" s="68"/>
      <c r="G645" s="70"/>
      <c r="H645" s="59"/>
      <c r="I645" s="23"/>
      <c r="J645" s="88"/>
      <c r="K645" s="65"/>
      <c r="L645" s="18"/>
      <c r="M645" s="54"/>
      <c r="N645" s="90">
        <f>(P642-N642)+(P645-P642)+(R642-R645)</f>
        <v>0</v>
      </c>
      <c r="O645" s="91"/>
      <c r="P645" s="90"/>
      <c r="Q645" s="91"/>
      <c r="R645" s="90"/>
      <c r="S645" s="94"/>
      <c r="T645" s="32"/>
      <c r="U645" s="78"/>
      <c r="V645" s="81"/>
      <c r="W645" s="81"/>
      <c r="X645" s="81"/>
      <c r="Y645" s="84"/>
      <c r="Z645" s="34"/>
      <c r="AA645" s="28"/>
      <c r="AB645" s="28"/>
      <c r="AC645" s="97"/>
      <c r="AD645" s="100"/>
      <c r="AE645" s="102"/>
    </row>
    <row r="646" spans="1:31" ht="17.100000000000001" customHeight="1" x14ac:dyDescent="0.25">
      <c r="A646" s="51"/>
      <c r="B646" s="66"/>
      <c r="C646" s="68"/>
      <c r="D646" s="69"/>
      <c r="E646" s="70"/>
      <c r="F646" s="68"/>
      <c r="G646" s="70"/>
      <c r="H646" s="59"/>
      <c r="I646" s="24"/>
      <c r="J646" s="62"/>
      <c r="K646" s="71" t="s">
        <v>51</v>
      </c>
      <c r="L646" s="16" t="s">
        <v>51</v>
      </c>
      <c r="M646" s="66" t="s">
        <v>51</v>
      </c>
      <c r="N646" s="38"/>
      <c r="O646" s="45"/>
      <c r="P646" s="38"/>
      <c r="Q646" s="45"/>
      <c r="R646" s="38"/>
      <c r="S646" s="39"/>
      <c r="T646" s="31">
        <f t="shared" ref="T646" si="199">R645-P645</f>
        <v>0</v>
      </c>
      <c r="U646" s="78"/>
      <c r="V646" s="81"/>
      <c r="W646" s="81"/>
      <c r="X646" s="81"/>
      <c r="Y646" s="84"/>
      <c r="Z646" s="34"/>
      <c r="AA646" s="29"/>
      <c r="AB646" s="29"/>
      <c r="AC646" s="97"/>
      <c r="AD646" s="104"/>
      <c r="AE646" s="102"/>
    </row>
    <row r="647" spans="1:31" ht="17.100000000000001" customHeight="1" thickBot="1" x14ac:dyDescent="0.3">
      <c r="A647" s="52"/>
      <c r="B647" s="67"/>
      <c r="C647" s="73"/>
      <c r="D647" s="74"/>
      <c r="E647" s="75"/>
      <c r="F647" s="73"/>
      <c r="G647" s="75"/>
      <c r="H647" s="60"/>
      <c r="I647" s="25"/>
      <c r="J647" s="89"/>
      <c r="K647" s="72"/>
      <c r="L647" s="19" t="s">
        <v>52</v>
      </c>
      <c r="M647" s="67"/>
      <c r="N647" s="92"/>
      <c r="O647" s="93"/>
      <c r="P647" s="92"/>
      <c r="Q647" s="93"/>
      <c r="R647" s="92"/>
      <c r="S647" s="95"/>
      <c r="T647" s="33"/>
      <c r="U647" s="79"/>
      <c r="V647" s="82"/>
      <c r="W647" s="82"/>
      <c r="X647" s="82"/>
      <c r="Y647" s="85"/>
      <c r="Z647" s="35"/>
      <c r="AA647" s="30"/>
      <c r="AB647" s="30"/>
      <c r="AC647" s="105"/>
      <c r="AD647" s="106"/>
      <c r="AE647" s="103"/>
    </row>
    <row r="648" spans="1:31" ht="17.100000000000001" customHeight="1" x14ac:dyDescent="0.25">
      <c r="A648" s="50">
        <v>46023</v>
      </c>
      <c r="B648" s="53"/>
      <c r="C648" s="55"/>
      <c r="D648" s="56"/>
      <c r="E648" s="57"/>
      <c r="F648" s="55"/>
      <c r="G648" s="57"/>
      <c r="H648" s="58"/>
      <c r="I648" s="26"/>
      <c r="J648" s="61"/>
      <c r="K648" s="64"/>
      <c r="L648" s="11"/>
      <c r="M648" s="53"/>
      <c r="N648" s="42"/>
      <c r="O648" s="43"/>
      <c r="P648" s="36"/>
      <c r="Q648" s="43"/>
      <c r="R648" s="36"/>
      <c r="S648" s="37"/>
      <c r="T648" s="76">
        <f t="shared" ref="T648" si="200">R648-P648</f>
        <v>0</v>
      </c>
      <c r="U648" s="77"/>
      <c r="V648" s="80"/>
      <c r="W648" s="80"/>
      <c r="X648" s="80"/>
      <c r="Y648" s="83"/>
      <c r="Z648" s="86"/>
      <c r="AA648" s="48"/>
      <c r="AB648" s="48"/>
      <c r="AC648" s="96"/>
      <c r="AD648" s="99"/>
      <c r="AE648" s="101"/>
    </row>
    <row r="649" spans="1:31" ht="17.100000000000001" customHeight="1" x14ac:dyDescent="0.25">
      <c r="A649" s="51"/>
      <c r="B649" s="54"/>
      <c r="C649" s="68"/>
      <c r="D649" s="69"/>
      <c r="E649" s="70"/>
      <c r="F649" s="68"/>
      <c r="G649" s="70"/>
      <c r="H649" s="59"/>
      <c r="I649" s="24"/>
      <c r="J649" s="62"/>
      <c r="K649" s="65"/>
      <c r="L649" s="17"/>
      <c r="M649" s="54"/>
      <c r="N649" s="44"/>
      <c r="O649" s="45"/>
      <c r="P649" s="38"/>
      <c r="Q649" s="45"/>
      <c r="R649" s="38"/>
      <c r="S649" s="39"/>
      <c r="T649" s="32"/>
      <c r="U649" s="78"/>
      <c r="V649" s="81"/>
      <c r="W649" s="81"/>
      <c r="X649" s="81"/>
      <c r="Y649" s="84"/>
      <c r="Z649" s="34"/>
      <c r="AA649" s="29"/>
      <c r="AB649" s="29"/>
      <c r="AC649" s="97"/>
      <c r="AD649" s="100"/>
      <c r="AE649" s="102"/>
    </row>
    <row r="650" spans="1:31" ht="17.100000000000001" customHeight="1" x14ac:dyDescent="0.25">
      <c r="A650" s="51"/>
      <c r="B650" s="66"/>
      <c r="C650" s="68"/>
      <c r="D650" s="69"/>
      <c r="E650" s="70"/>
      <c r="F650" s="68"/>
      <c r="G650" s="70"/>
      <c r="H650" s="59"/>
      <c r="I650" s="27"/>
      <c r="J650" s="63"/>
      <c r="K650" s="71"/>
      <c r="L650" s="18"/>
      <c r="M650" s="66"/>
      <c r="N650" s="46"/>
      <c r="O650" s="47"/>
      <c r="P650" s="40"/>
      <c r="Q650" s="47"/>
      <c r="R650" s="40"/>
      <c r="S650" s="41"/>
      <c r="T650" s="31">
        <f>(P651-P648)+(R648-R651)</f>
        <v>0</v>
      </c>
      <c r="U650" s="78"/>
      <c r="V650" s="81"/>
      <c r="W650" s="81"/>
      <c r="X650" s="81"/>
      <c r="Y650" s="84"/>
      <c r="Z650" s="87"/>
      <c r="AA650" s="49"/>
      <c r="AB650" s="49"/>
      <c r="AC650" s="98"/>
      <c r="AD650" s="104"/>
      <c r="AE650" s="102"/>
    </row>
    <row r="651" spans="1:31" ht="17.100000000000001" customHeight="1" x14ac:dyDescent="0.25">
      <c r="A651" s="51"/>
      <c r="B651" s="54"/>
      <c r="C651" s="68"/>
      <c r="D651" s="69"/>
      <c r="E651" s="70"/>
      <c r="F651" s="68"/>
      <c r="G651" s="70"/>
      <c r="H651" s="59"/>
      <c r="I651" s="23"/>
      <c r="J651" s="88"/>
      <c r="K651" s="65"/>
      <c r="L651" s="18"/>
      <c r="M651" s="54"/>
      <c r="N651" s="90">
        <f>(P648-N648)+(P651-P648)+(R648-R651)</f>
        <v>0</v>
      </c>
      <c r="O651" s="91"/>
      <c r="P651" s="90"/>
      <c r="Q651" s="91"/>
      <c r="R651" s="90"/>
      <c r="S651" s="94"/>
      <c r="T651" s="32"/>
      <c r="U651" s="78"/>
      <c r="V651" s="81"/>
      <c r="W651" s="81"/>
      <c r="X651" s="81"/>
      <c r="Y651" s="84"/>
      <c r="Z651" s="34"/>
      <c r="AA651" s="28"/>
      <c r="AB651" s="28"/>
      <c r="AC651" s="97"/>
      <c r="AD651" s="100"/>
      <c r="AE651" s="102"/>
    </row>
    <row r="652" spans="1:31" ht="17.100000000000001" customHeight="1" x14ac:dyDescent="0.25">
      <c r="A652" s="51"/>
      <c r="B652" s="66"/>
      <c r="C652" s="68"/>
      <c r="D652" s="69"/>
      <c r="E652" s="70"/>
      <c r="F652" s="68"/>
      <c r="G652" s="70"/>
      <c r="H652" s="59"/>
      <c r="I652" s="24"/>
      <c r="J652" s="62"/>
      <c r="K652" s="71" t="s">
        <v>51</v>
      </c>
      <c r="L652" s="16" t="s">
        <v>51</v>
      </c>
      <c r="M652" s="66" t="s">
        <v>51</v>
      </c>
      <c r="N652" s="38"/>
      <c r="O652" s="45"/>
      <c r="P652" s="38"/>
      <c r="Q652" s="45"/>
      <c r="R652" s="38"/>
      <c r="S652" s="39"/>
      <c r="T652" s="31">
        <f t="shared" ref="T652" si="201">R651-P651</f>
        <v>0</v>
      </c>
      <c r="U652" s="78"/>
      <c r="V652" s="81"/>
      <c r="W652" s="81"/>
      <c r="X652" s="81"/>
      <c r="Y652" s="84"/>
      <c r="Z652" s="34"/>
      <c r="AA652" s="29"/>
      <c r="AB652" s="29"/>
      <c r="AC652" s="97"/>
      <c r="AD652" s="104"/>
      <c r="AE652" s="102"/>
    </row>
    <row r="653" spans="1:31" ht="17.100000000000001" customHeight="1" thickBot="1" x14ac:dyDescent="0.3">
      <c r="A653" s="52"/>
      <c r="B653" s="67"/>
      <c r="C653" s="73"/>
      <c r="D653" s="74"/>
      <c r="E653" s="75"/>
      <c r="F653" s="73"/>
      <c r="G653" s="75"/>
      <c r="H653" s="60"/>
      <c r="I653" s="25"/>
      <c r="J653" s="89"/>
      <c r="K653" s="72"/>
      <c r="L653" s="19" t="s">
        <v>52</v>
      </c>
      <c r="M653" s="67"/>
      <c r="N653" s="92"/>
      <c r="O653" s="93"/>
      <c r="P653" s="92"/>
      <c r="Q653" s="93"/>
      <c r="R653" s="92"/>
      <c r="S653" s="95"/>
      <c r="T653" s="33"/>
      <c r="U653" s="79"/>
      <c r="V653" s="82"/>
      <c r="W653" s="82"/>
      <c r="X653" s="82"/>
      <c r="Y653" s="85"/>
      <c r="Z653" s="35"/>
      <c r="AA653" s="30"/>
      <c r="AB653" s="30"/>
      <c r="AC653" s="105"/>
      <c r="AD653" s="106"/>
      <c r="AE653" s="103"/>
    </row>
    <row r="654" spans="1:31" ht="17.100000000000001" customHeight="1" x14ac:dyDescent="0.25">
      <c r="A654" s="50">
        <v>46023</v>
      </c>
      <c r="B654" s="53"/>
      <c r="C654" s="55"/>
      <c r="D654" s="56"/>
      <c r="E654" s="57"/>
      <c r="F654" s="55"/>
      <c r="G654" s="57"/>
      <c r="H654" s="58"/>
      <c r="I654" s="26"/>
      <c r="J654" s="61"/>
      <c r="K654" s="64"/>
      <c r="L654" s="11"/>
      <c r="M654" s="53"/>
      <c r="N654" s="42"/>
      <c r="O654" s="43"/>
      <c r="P654" s="36"/>
      <c r="Q654" s="43"/>
      <c r="R654" s="36"/>
      <c r="S654" s="37"/>
      <c r="T654" s="76">
        <f t="shared" ref="T654" si="202">R654-P654</f>
        <v>0</v>
      </c>
      <c r="U654" s="77"/>
      <c r="V654" s="80"/>
      <c r="W654" s="80"/>
      <c r="X654" s="80"/>
      <c r="Y654" s="83"/>
      <c r="Z654" s="86"/>
      <c r="AA654" s="48"/>
      <c r="AB654" s="48"/>
      <c r="AC654" s="96"/>
      <c r="AD654" s="99"/>
      <c r="AE654" s="101"/>
    </row>
    <row r="655" spans="1:31" ht="17.100000000000001" customHeight="1" x14ac:dyDescent="0.25">
      <c r="A655" s="51"/>
      <c r="B655" s="54"/>
      <c r="C655" s="68"/>
      <c r="D655" s="69"/>
      <c r="E655" s="70"/>
      <c r="F655" s="68"/>
      <c r="G655" s="70"/>
      <c r="H655" s="59"/>
      <c r="I655" s="24"/>
      <c r="J655" s="62"/>
      <c r="K655" s="65"/>
      <c r="L655" s="17"/>
      <c r="M655" s="54"/>
      <c r="N655" s="44"/>
      <c r="O655" s="45"/>
      <c r="P655" s="38"/>
      <c r="Q655" s="45"/>
      <c r="R655" s="38"/>
      <c r="S655" s="39"/>
      <c r="T655" s="32"/>
      <c r="U655" s="78"/>
      <c r="V655" s="81"/>
      <c r="W655" s="81"/>
      <c r="X655" s="81"/>
      <c r="Y655" s="84"/>
      <c r="Z655" s="34"/>
      <c r="AA655" s="29"/>
      <c r="AB655" s="29"/>
      <c r="AC655" s="97"/>
      <c r="AD655" s="100"/>
      <c r="AE655" s="102"/>
    </row>
    <row r="656" spans="1:31" ht="17.100000000000001" customHeight="1" x14ac:dyDescent="0.25">
      <c r="A656" s="51"/>
      <c r="B656" s="66"/>
      <c r="C656" s="68"/>
      <c r="D656" s="69"/>
      <c r="E656" s="70"/>
      <c r="F656" s="68"/>
      <c r="G656" s="70"/>
      <c r="H656" s="59"/>
      <c r="I656" s="27"/>
      <c r="J656" s="63"/>
      <c r="K656" s="71"/>
      <c r="L656" s="18"/>
      <c r="M656" s="66"/>
      <c r="N656" s="46"/>
      <c r="O656" s="47"/>
      <c r="P656" s="40"/>
      <c r="Q656" s="47"/>
      <c r="R656" s="40"/>
      <c r="S656" s="41"/>
      <c r="T656" s="31">
        <f>(P657-P654)+(R654-R657)</f>
        <v>0</v>
      </c>
      <c r="U656" s="78"/>
      <c r="V656" s="81"/>
      <c r="W656" s="81"/>
      <c r="X656" s="81"/>
      <c r="Y656" s="84"/>
      <c r="Z656" s="87"/>
      <c r="AA656" s="49"/>
      <c r="AB656" s="49"/>
      <c r="AC656" s="98"/>
      <c r="AD656" s="104"/>
      <c r="AE656" s="102"/>
    </row>
    <row r="657" spans="1:31" ht="17.100000000000001" customHeight="1" x14ac:dyDescent="0.25">
      <c r="A657" s="51"/>
      <c r="B657" s="54"/>
      <c r="C657" s="68"/>
      <c r="D657" s="69"/>
      <c r="E657" s="70"/>
      <c r="F657" s="68"/>
      <c r="G657" s="70"/>
      <c r="H657" s="59"/>
      <c r="I657" s="23"/>
      <c r="J657" s="88"/>
      <c r="K657" s="65"/>
      <c r="L657" s="18"/>
      <c r="M657" s="54"/>
      <c r="N657" s="90">
        <f>(P654-N654)+(P657-P654)+(R654-R657)</f>
        <v>0</v>
      </c>
      <c r="O657" s="91"/>
      <c r="P657" s="90"/>
      <c r="Q657" s="91"/>
      <c r="R657" s="90"/>
      <c r="S657" s="94"/>
      <c r="T657" s="32"/>
      <c r="U657" s="78"/>
      <c r="V657" s="81"/>
      <c r="W657" s="81"/>
      <c r="X657" s="81"/>
      <c r="Y657" s="84"/>
      <c r="Z657" s="34"/>
      <c r="AA657" s="28"/>
      <c r="AB657" s="28"/>
      <c r="AC657" s="97"/>
      <c r="AD657" s="100"/>
      <c r="AE657" s="102"/>
    </row>
    <row r="658" spans="1:31" ht="17.100000000000001" customHeight="1" x14ac:dyDescent="0.25">
      <c r="A658" s="51"/>
      <c r="B658" s="66"/>
      <c r="C658" s="68"/>
      <c r="D658" s="69"/>
      <c r="E658" s="70"/>
      <c r="F658" s="68"/>
      <c r="G658" s="70"/>
      <c r="H658" s="59"/>
      <c r="I658" s="24"/>
      <c r="J658" s="62"/>
      <c r="K658" s="71" t="s">
        <v>51</v>
      </c>
      <c r="L658" s="16" t="s">
        <v>51</v>
      </c>
      <c r="M658" s="66" t="s">
        <v>51</v>
      </c>
      <c r="N658" s="38"/>
      <c r="O658" s="45"/>
      <c r="P658" s="38"/>
      <c r="Q658" s="45"/>
      <c r="R658" s="38"/>
      <c r="S658" s="39"/>
      <c r="T658" s="31">
        <f t="shared" ref="T658" si="203">R657-P657</f>
        <v>0</v>
      </c>
      <c r="U658" s="78"/>
      <c r="V658" s="81"/>
      <c r="W658" s="81"/>
      <c r="X658" s="81"/>
      <c r="Y658" s="84"/>
      <c r="Z658" s="34"/>
      <c r="AA658" s="29"/>
      <c r="AB658" s="29"/>
      <c r="AC658" s="97"/>
      <c r="AD658" s="104"/>
      <c r="AE658" s="102"/>
    </row>
    <row r="659" spans="1:31" ht="17.100000000000001" customHeight="1" thickBot="1" x14ac:dyDescent="0.3">
      <c r="A659" s="52"/>
      <c r="B659" s="67"/>
      <c r="C659" s="73"/>
      <c r="D659" s="74"/>
      <c r="E659" s="75"/>
      <c r="F659" s="73"/>
      <c r="G659" s="75"/>
      <c r="H659" s="60"/>
      <c r="I659" s="25"/>
      <c r="J659" s="89"/>
      <c r="K659" s="72"/>
      <c r="L659" s="19" t="s">
        <v>52</v>
      </c>
      <c r="M659" s="67"/>
      <c r="N659" s="92"/>
      <c r="O659" s="93"/>
      <c r="P659" s="92"/>
      <c r="Q659" s="93"/>
      <c r="R659" s="92"/>
      <c r="S659" s="95"/>
      <c r="T659" s="33"/>
      <c r="U659" s="79"/>
      <c r="V659" s="82"/>
      <c r="W659" s="82"/>
      <c r="X659" s="82"/>
      <c r="Y659" s="85"/>
      <c r="Z659" s="35"/>
      <c r="AA659" s="30"/>
      <c r="AB659" s="30"/>
      <c r="AC659" s="105"/>
      <c r="AD659" s="106"/>
      <c r="AE659" s="103"/>
    </row>
    <row r="660" spans="1:31" ht="17.100000000000001" customHeight="1" x14ac:dyDescent="0.25">
      <c r="A660" s="50">
        <v>46023</v>
      </c>
      <c r="B660" s="53"/>
      <c r="C660" s="55"/>
      <c r="D660" s="56"/>
      <c r="E660" s="57"/>
      <c r="F660" s="55"/>
      <c r="G660" s="57"/>
      <c r="H660" s="58"/>
      <c r="I660" s="26"/>
      <c r="J660" s="61"/>
      <c r="K660" s="64"/>
      <c r="L660" s="11"/>
      <c r="M660" s="53"/>
      <c r="N660" s="42"/>
      <c r="O660" s="43"/>
      <c r="P660" s="36"/>
      <c r="Q660" s="43"/>
      <c r="R660" s="36"/>
      <c r="S660" s="37"/>
      <c r="T660" s="76">
        <f t="shared" ref="T660" si="204">R660-P660</f>
        <v>0</v>
      </c>
      <c r="U660" s="77"/>
      <c r="V660" s="80"/>
      <c r="W660" s="80"/>
      <c r="X660" s="80"/>
      <c r="Y660" s="83"/>
      <c r="Z660" s="86"/>
      <c r="AA660" s="48"/>
      <c r="AB660" s="48"/>
      <c r="AC660" s="96"/>
      <c r="AD660" s="99"/>
      <c r="AE660" s="101"/>
    </row>
    <row r="661" spans="1:31" ht="17.100000000000001" customHeight="1" x14ac:dyDescent="0.25">
      <c r="A661" s="51"/>
      <c r="B661" s="54"/>
      <c r="C661" s="68"/>
      <c r="D661" s="69"/>
      <c r="E661" s="70"/>
      <c r="F661" s="68"/>
      <c r="G661" s="70"/>
      <c r="H661" s="59"/>
      <c r="I661" s="24"/>
      <c r="J661" s="62"/>
      <c r="K661" s="65"/>
      <c r="L661" s="17"/>
      <c r="M661" s="54"/>
      <c r="N661" s="44"/>
      <c r="O661" s="45"/>
      <c r="P661" s="38"/>
      <c r="Q661" s="45"/>
      <c r="R661" s="38"/>
      <c r="S661" s="39"/>
      <c r="T661" s="32"/>
      <c r="U661" s="78"/>
      <c r="V661" s="81"/>
      <c r="W661" s="81"/>
      <c r="X661" s="81"/>
      <c r="Y661" s="84"/>
      <c r="Z661" s="34"/>
      <c r="AA661" s="29"/>
      <c r="AB661" s="29"/>
      <c r="AC661" s="97"/>
      <c r="AD661" s="100"/>
      <c r="AE661" s="102"/>
    </row>
    <row r="662" spans="1:31" ht="17.100000000000001" customHeight="1" x14ac:dyDescent="0.25">
      <c r="A662" s="51"/>
      <c r="B662" s="66"/>
      <c r="C662" s="68"/>
      <c r="D662" s="69"/>
      <c r="E662" s="70"/>
      <c r="F662" s="68"/>
      <c r="G662" s="70"/>
      <c r="H662" s="59"/>
      <c r="I662" s="27"/>
      <c r="J662" s="63"/>
      <c r="K662" s="71"/>
      <c r="L662" s="18"/>
      <c r="M662" s="66"/>
      <c r="N662" s="46"/>
      <c r="O662" s="47"/>
      <c r="P662" s="40"/>
      <c r="Q662" s="47"/>
      <c r="R662" s="40"/>
      <c r="S662" s="41"/>
      <c r="T662" s="31">
        <f>(P663-P660)+(R660-R663)</f>
        <v>0</v>
      </c>
      <c r="U662" s="78"/>
      <c r="V662" s="81"/>
      <c r="W662" s="81"/>
      <c r="X662" s="81"/>
      <c r="Y662" s="84"/>
      <c r="Z662" s="87"/>
      <c r="AA662" s="49"/>
      <c r="AB662" s="49"/>
      <c r="AC662" s="98"/>
      <c r="AD662" s="104"/>
      <c r="AE662" s="102"/>
    </row>
    <row r="663" spans="1:31" ht="17.100000000000001" customHeight="1" x14ac:dyDescent="0.25">
      <c r="A663" s="51"/>
      <c r="B663" s="54"/>
      <c r="C663" s="68"/>
      <c r="D663" s="69"/>
      <c r="E663" s="70"/>
      <c r="F663" s="68"/>
      <c r="G663" s="70"/>
      <c r="H663" s="59"/>
      <c r="I663" s="23"/>
      <c r="J663" s="88"/>
      <c r="K663" s="65"/>
      <c r="L663" s="18"/>
      <c r="M663" s="54"/>
      <c r="N663" s="90">
        <f>(P660-N660)+(P663-P660)+(R660-R663)</f>
        <v>0</v>
      </c>
      <c r="O663" s="91"/>
      <c r="P663" s="90"/>
      <c r="Q663" s="91"/>
      <c r="R663" s="90"/>
      <c r="S663" s="94"/>
      <c r="T663" s="32"/>
      <c r="U663" s="78"/>
      <c r="V663" s="81"/>
      <c r="W663" s="81"/>
      <c r="X663" s="81"/>
      <c r="Y663" s="84"/>
      <c r="Z663" s="34"/>
      <c r="AA663" s="28"/>
      <c r="AB663" s="28"/>
      <c r="AC663" s="97"/>
      <c r="AD663" s="100"/>
      <c r="AE663" s="102"/>
    </row>
    <row r="664" spans="1:31" ht="17.100000000000001" customHeight="1" x14ac:dyDescent="0.25">
      <c r="A664" s="51"/>
      <c r="B664" s="66"/>
      <c r="C664" s="68"/>
      <c r="D664" s="69"/>
      <c r="E664" s="70"/>
      <c r="F664" s="68"/>
      <c r="G664" s="70"/>
      <c r="H664" s="59"/>
      <c r="I664" s="24"/>
      <c r="J664" s="62"/>
      <c r="K664" s="71" t="s">
        <v>51</v>
      </c>
      <c r="L664" s="16" t="s">
        <v>51</v>
      </c>
      <c r="M664" s="66" t="s">
        <v>51</v>
      </c>
      <c r="N664" s="38"/>
      <c r="O664" s="45"/>
      <c r="P664" s="38"/>
      <c r="Q664" s="45"/>
      <c r="R664" s="38"/>
      <c r="S664" s="39"/>
      <c r="T664" s="31">
        <f t="shared" ref="T664" si="205">R663-P663</f>
        <v>0</v>
      </c>
      <c r="U664" s="78"/>
      <c r="V664" s="81"/>
      <c r="W664" s="81"/>
      <c r="X664" s="81"/>
      <c r="Y664" s="84"/>
      <c r="Z664" s="34"/>
      <c r="AA664" s="29"/>
      <c r="AB664" s="29"/>
      <c r="AC664" s="97"/>
      <c r="AD664" s="104"/>
      <c r="AE664" s="102"/>
    </row>
    <row r="665" spans="1:31" ht="17.100000000000001" customHeight="1" thickBot="1" x14ac:dyDescent="0.3">
      <c r="A665" s="52"/>
      <c r="B665" s="67"/>
      <c r="C665" s="73"/>
      <c r="D665" s="74"/>
      <c r="E665" s="75"/>
      <c r="F665" s="73"/>
      <c r="G665" s="75"/>
      <c r="H665" s="60"/>
      <c r="I665" s="25"/>
      <c r="J665" s="89"/>
      <c r="K665" s="72"/>
      <c r="L665" s="19" t="s">
        <v>52</v>
      </c>
      <c r="M665" s="67"/>
      <c r="N665" s="92"/>
      <c r="O665" s="93"/>
      <c r="P665" s="92"/>
      <c r="Q665" s="93"/>
      <c r="R665" s="92"/>
      <c r="S665" s="95"/>
      <c r="T665" s="33"/>
      <c r="U665" s="79"/>
      <c r="V665" s="82"/>
      <c r="W665" s="82"/>
      <c r="X665" s="82"/>
      <c r="Y665" s="85"/>
      <c r="Z665" s="35"/>
      <c r="AA665" s="30"/>
      <c r="AB665" s="30"/>
      <c r="AC665" s="105"/>
      <c r="AD665" s="106"/>
      <c r="AE665" s="103"/>
    </row>
    <row r="666" spans="1:31" ht="17.100000000000001" customHeight="1" x14ac:dyDescent="0.25">
      <c r="A666" s="50">
        <v>46023</v>
      </c>
      <c r="B666" s="53"/>
      <c r="C666" s="55"/>
      <c r="D666" s="56"/>
      <c r="E666" s="57"/>
      <c r="F666" s="55"/>
      <c r="G666" s="57"/>
      <c r="H666" s="58"/>
      <c r="I666" s="26"/>
      <c r="J666" s="61"/>
      <c r="K666" s="64"/>
      <c r="L666" s="11"/>
      <c r="M666" s="53"/>
      <c r="N666" s="42"/>
      <c r="O666" s="43"/>
      <c r="P666" s="36"/>
      <c r="Q666" s="43"/>
      <c r="R666" s="36"/>
      <c r="S666" s="37"/>
      <c r="T666" s="76">
        <f t="shared" ref="T666" si="206">R666-P666</f>
        <v>0</v>
      </c>
      <c r="U666" s="77"/>
      <c r="V666" s="80"/>
      <c r="W666" s="80"/>
      <c r="X666" s="80"/>
      <c r="Y666" s="83"/>
      <c r="Z666" s="86"/>
      <c r="AA666" s="48"/>
      <c r="AB666" s="48"/>
      <c r="AC666" s="96"/>
      <c r="AD666" s="99"/>
      <c r="AE666" s="101"/>
    </row>
    <row r="667" spans="1:31" ht="17.100000000000001" customHeight="1" x14ac:dyDescent="0.25">
      <c r="A667" s="51"/>
      <c r="B667" s="54"/>
      <c r="C667" s="68"/>
      <c r="D667" s="69"/>
      <c r="E667" s="70"/>
      <c r="F667" s="68"/>
      <c r="G667" s="70"/>
      <c r="H667" s="59"/>
      <c r="I667" s="24"/>
      <c r="J667" s="62"/>
      <c r="K667" s="65"/>
      <c r="L667" s="17"/>
      <c r="M667" s="54"/>
      <c r="N667" s="44"/>
      <c r="O667" s="45"/>
      <c r="P667" s="38"/>
      <c r="Q667" s="45"/>
      <c r="R667" s="38"/>
      <c r="S667" s="39"/>
      <c r="T667" s="32"/>
      <c r="U667" s="78"/>
      <c r="V667" s="81"/>
      <c r="W667" s="81"/>
      <c r="X667" s="81"/>
      <c r="Y667" s="84"/>
      <c r="Z667" s="34"/>
      <c r="AA667" s="29"/>
      <c r="AB667" s="29"/>
      <c r="AC667" s="97"/>
      <c r="AD667" s="100"/>
      <c r="AE667" s="102"/>
    </row>
    <row r="668" spans="1:31" ht="17.100000000000001" customHeight="1" x14ac:dyDescent="0.25">
      <c r="A668" s="51"/>
      <c r="B668" s="66"/>
      <c r="C668" s="68"/>
      <c r="D668" s="69"/>
      <c r="E668" s="70"/>
      <c r="F668" s="68"/>
      <c r="G668" s="70"/>
      <c r="H668" s="59"/>
      <c r="I668" s="27"/>
      <c r="J668" s="63"/>
      <c r="K668" s="71"/>
      <c r="L668" s="18"/>
      <c r="M668" s="66"/>
      <c r="N668" s="46"/>
      <c r="O668" s="47"/>
      <c r="P668" s="40"/>
      <c r="Q668" s="47"/>
      <c r="R668" s="40"/>
      <c r="S668" s="41"/>
      <c r="T668" s="31">
        <f>(P669-P666)+(R666-R669)</f>
        <v>0</v>
      </c>
      <c r="U668" s="78"/>
      <c r="V668" s="81"/>
      <c r="W668" s="81"/>
      <c r="X668" s="81"/>
      <c r="Y668" s="84"/>
      <c r="Z668" s="87"/>
      <c r="AA668" s="49"/>
      <c r="AB668" s="49"/>
      <c r="AC668" s="98"/>
      <c r="AD668" s="104"/>
      <c r="AE668" s="102"/>
    </row>
    <row r="669" spans="1:31" ht="17.100000000000001" customHeight="1" x14ac:dyDescent="0.25">
      <c r="A669" s="51"/>
      <c r="B669" s="54"/>
      <c r="C669" s="68"/>
      <c r="D669" s="69"/>
      <c r="E669" s="70"/>
      <c r="F669" s="68"/>
      <c r="G669" s="70"/>
      <c r="H669" s="59"/>
      <c r="I669" s="23"/>
      <c r="J669" s="88"/>
      <c r="K669" s="65"/>
      <c r="L669" s="18"/>
      <c r="M669" s="54"/>
      <c r="N669" s="90">
        <f>(P666-N666)+(P669-P666)+(R666-R669)</f>
        <v>0</v>
      </c>
      <c r="O669" s="91"/>
      <c r="P669" s="90"/>
      <c r="Q669" s="91"/>
      <c r="R669" s="90"/>
      <c r="S669" s="94"/>
      <c r="T669" s="32"/>
      <c r="U669" s="78"/>
      <c r="V669" s="81"/>
      <c r="W669" s="81"/>
      <c r="X669" s="81"/>
      <c r="Y669" s="84"/>
      <c r="Z669" s="34"/>
      <c r="AA669" s="28"/>
      <c r="AB669" s="28"/>
      <c r="AC669" s="97"/>
      <c r="AD669" s="100"/>
      <c r="AE669" s="102"/>
    </row>
    <row r="670" spans="1:31" ht="17.100000000000001" customHeight="1" x14ac:dyDescent="0.25">
      <c r="A670" s="51"/>
      <c r="B670" s="66"/>
      <c r="C670" s="68"/>
      <c r="D670" s="69"/>
      <c r="E670" s="70"/>
      <c r="F670" s="68"/>
      <c r="G670" s="70"/>
      <c r="H670" s="59"/>
      <c r="I670" s="24"/>
      <c r="J670" s="62"/>
      <c r="K670" s="71" t="s">
        <v>51</v>
      </c>
      <c r="L670" s="16" t="s">
        <v>51</v>
      </c>
      <c r="M670" s="66" t="s">
        <v>51</v>
      </c>
      <c r="N670" s="38"/>
      <c r="O670" s="45"/>
      <c r="P670" s="38"/>
      <c r="Q670" s="45"/>
      <c r="R670" s="38"/>
      <c r="S670" s="39"/>
      <c r="T670" s="31">
        <f t="shared" ref="T670" si="207">R669-P669</f>
        <v>0</v>
      </c>
      <c r="U670" s="78"/>
      <c r="V670" s="81"/>
      <c r="W670" s="81"/>
      <c r="X670" s="81"/>
      <c r="Y670" s="84"/>
      <c r="Z670" s="34"/>
      <c r="AA670" s="29"/>
      <c r="AB670" s="29"/>
      <c r="AC670" s="97"/>
      <c r="AD670" s="104"/>
      <c r="AE670" s="102"/>
    </row>
    <row r="671" spans="1:31" ht="17.100000000000001" customHeight="1" thickBot="1" x14ac:dyDescent="0.3">
      <c r="A671" s="52"/>
      <c r="B671" s="67"/>
      <c r="C671" s="73"/>
      <c r="D671" s="74"/>
      <c r="E671" s="75"/>
      <c r="F671" s="73"/>
      <c r="G671" s="75"/>
      <c r="H671" s="60"/>
      <c r="I671" s="25"/>
      <c r="J671" s="89"/>
      <c r="K671" s="72"/>
      <c r="L671" s="19" t="s">
        <v>52</v>
      </c>
      <c r="M671" s="67"/>
      <c r="N671" s="92"/>
      <c r="O671" s="93"/>
      <c r="P671" s="92"/>
      <c r="Q671" s="93"/>
      <c r="R671" s="92"/>
      <c r="S671" s="95"/>
      <c r="T671" s="33"/>
      <c r="U671" s="79"/>
      <c r="V671" s="82"/>
      <c r="W671" s="82"/>
      <c r="X671" s="82"/>
      <c r="Y671" s="85"/>
      <c r="Z671" s="35"/>
      <c r="AA671" s="30"/>
      <c r="AB671" s="30"/>
      <c r="AC671" s="105"/>
      <c r="AD671" s="106"/>
      <c r="AE671" s="103"/>
    </row>
    <row r="673" spans="1:31" ht="17.100000000000001" customHeight="1" thickBot="1" x14ac:dyDescent="0.3"/>
    <row r="674" spans="1:31" ht="17.100000000000001" customHeight="1" x14ac:dyDescent="0.25">
      <c r="A674" s="50">
        <v>46023</v>
      </c>
      <c r="B674" s="53"/>
      <c r="C674" s="55"/>
      <c r="D674" s="56"/>
      <c r="E674" s="57"/>
      <c r="F674" s="55"/>
      <c r="G674" s="57"/>
      <c r="H674" s="58"/>
      <c r="I674" s="26"/>
      <c r="J674" s="61"/>
      <c r="K674" s="64"/>
      <c r="L674" s="11"/>
      <c r="M674" s="53"/>
      <c r="N674" s="42"/>
      <c r="O674" s="43"/>
      <c r="P674" s="36"/>
      <c r="Q674" s="43"/>
      <c r="R674" s="36"/>
      <c r="S674" s="37"/>
      <c r="T674" s="76">
        <f t="shared" ref="T674" si="208">R674-P674</f>
        <v>0</v>
      </c>
      <c r="U674" s="77"/>
      <c r="V674" s="80"/>
      <c r="W674" s="80"/>
      <c r="X674" s="80"/>
      <c r="Y674" s="83"/>
      <c r="Z674" s="86"/>
      <c r="AA674" s="48"/>
      <c r="AB674" s="48"/>
      <c r="AC674" s="96"/>
      <c r="AD674" s="99"/>
      <c r="AE674" s="101"/>
    </row>
    <row r="675" spans="1:31" ht="17.100000000000001" customHeight="1" x14ac:dyDescent="0.25">
      <c r="A675" s="51"/>
      <c r="B675" s="54"/>
      <c r="C675" s="68"/>
      <c r="D675" s="69"/>
      <c r="E675" s="70"/>
      <c r="F675" s="68"/>
      <c r="G675" s="70"/>
      <c r="H675" s="59"/>
      <c r="I675" s="24"/>
      <c r="J675" s="62"/>
      <c r="K675" s="65"/>
      <c r="L675" s="17"/>
      <c r="M675" s="54"/>
      <c r="N675" s="44"/>
      <c r="O675" s="45"/>
      <c r="P675" s="38"/>
      <c r="Q675" s="45"/>
      <c r="R675" s="38"/>
      <c r="S675" s="39"/>
      <c r="T675" s="32"/>
      <c r="U675" s="78"/>
      <c r="V675" s="81"/>
      <c r="W675" s="81"/>
      <c r="X675" s="81"/>
      <c r="Y675" s="84"/>
      <c r="Z675" s="34"/>
      <c r="AA675" s="29"/>
      <c r="AB675" s="29"/>
      <c r="AC675" s="97"/>
      <c r="AD675" s="100"/>
      <c r="AE675" s="102"/>
    </row>
    <row r="676" spans="1:31" ht="17.100000000000001" customHeight="1" x14ac:dyDescent="0.25">
      <c r="A676" s="51"/>
      <c r="B676" s="66"/>
      <c r="C676" s="68"/>
      <c r="D676" s="69"/>
      <c r="E676" s="70"/>
      <c r="F676" s="68"/>
      <c r="G676" s="70"/>
      <c r="H676" s="59"/>
      <c r="I676" s="27"/>
      <c r="J676" s="63"/>
      <c r="K676" s="71"/>
      <c r="L676" s="18"/>
      <c r="M676" s="66"/>
      <c r="N676" s="46"/>
      <c r="O676" s="47"/>
      <c r="P676" s="40"/>
      <c r="Q676" s="47"/>
      <c r="R676" s="40"/>
      <c r="S676" s="41"/>
      <c r="T676" s="31">
        <f>(P677-P674)+(R674-R677)</f>
        <v>0</v>
      </c>
      <c r="U676" s="78"/>
      <c r="V676" s="81"/>
      <c r="W676" s="81"/>
      <c r="X676" s="81"/>
      <c r="Y676" s="84"/>
      <c r="Z676" s="87"/>
      <c r="AA676" s="49"/>
      <c r="AB676" s="49"/>
      <c r="AC676" s="98"/>
      <c r="AD676" s="104"/>
      <c r="AE676" s="102"/>
    </row>
    <row r="677" spans="1:31" ht="17.100000000000001" customHeight="1" x14ac:dyDescent="0.25">
      <c r="A677" s="51"/>
      <c r="B677" s="54"/>
      <c r="C677" s="68"/>
      <c r="D677" s="69"/>
      <c r="E677" s="70"/>
      <c r="F677" s="68"/>
      <c r="G677" s="70"/>
      <c r="H677" s="59"/>
      <c r="I677" s="23"/>
      <c r="J677" s="88"/>
      <c r="K677" s="65"/>
      <c r="L677" s="18"/>
      <c r="M677" s="54"/>
      <c r="N677" s="90">
        <f>(P674-N674)+(P677-P674)+(R674-R677)</f>
        <v>0</v>
      </c>
      <c r="O677" s="91"/>
      <c r="P677" s="90"/>
      <c r="Q677" s="91"/>
      <c r="R677" s="90"/>
      <c r="S677" s="94"/>
      <c r="T677" s="32"/>
      <c r="U677" s="78"/>
      <c r="V677" s="81"/>
      <c r="W677" s="81"/>
      <c r="X677" s="81"/>
      <c r="Y677" s="84"/>
      <c r="Z677" s="34"/>
      <c r="AA677" s="28"/>
      <c r="AB677" s="28"/>
      <c r="AC677" s="97"/>
      <c r="AD677" s="100"/>
      <c r="AE677" s="102"/>
    </row>
    <row r="678" spans="1:31" ht="17.100000000000001" customHeight="1" x14ac:dyDescent="0.25">
      <c r="A678" s="51"/>
      <c r="B678" s="66"/>
      <c r="C678" s="68"/>
      <c r="D678" s="69"/>
      <c r="E678" s="70"/>
      <c r="F678" s="68"/>
      <c r="G678" s="70"/>
      <c r="H678" s="59"/>
      <c r="I678" s="24"/>
      <c r="J678" s="62"/>
      <c r="K678" s="71" t="s">
        <v>51</v>
      </c>
      <c r="L678" s="16" t="s">
        <v>51</v>
      </c>
      <c r="M678" s="66" t="s">
        <v>51</v>
      </c>
      <c r="N678" s="38"/>
      <c r="O678" s="45"/>
      <c r="P678" s="38"/>
      <c r="Q678" s="45"/>
      <c r="R678" s="38"/>
      <c r="S678" s="39"/>
      <c r="T678" s="31">
        <f t="shared" ref="T678" si="209">R677-P677</f>
        <v>0</v>
      </c>
      <c r="U678" s="78"/>
      <c r="V678" s="81"/>
      <c r="W678" s="81"/>
      <c r="X678" s="81"/>
      <c r="Y678" s="84"/>
      <c r="Z678" s="34"/>
      <c r="AA678" s="29"/>
      <c r="AB678" s="29"/>
      <c r="AC678" s="97"/>
      <c r="AD678" s="104"/>
      <c r="AE678" s="102"/>
    </row>
    <row r="679" spans="1:31" ht="17.100000000000001" customHeight="1" thickBot="1" x14ac:dyDescent="0.3">
      <c r="A679" s="52"/>
      <c r="B679" s="67"/>
      <c r="C679" s="73"/>
      <c r="D679" s="74"/>
      <c r="E679" s="75"/>
      <c r="F679" s="73"/>
      <c r="G679" s="75"/>
      <c r="H679" s="60"/>
      <c r="I679" s="25"/>
      <c r="J679" s="89"/>
      <c r="K679" s="72"/>
      <c r="L679" s="19" t="s">
        <v>52</v>
      </c>
      <c r="M679" s="67"/>
      <c r="N679" s="92"/>
      <c r="O679" s="93"/>
      <c r="P679" s="92"/>
      <c r="Q679" s="93"/>
      <c r="R679" s="92"/>
      <c r="S679" s="95"/>
      <c r="T679" s="33"/>
      <c r="U679" s="79"/>
      <c r="V679" s="82"/>
      <c r="W679" s="82"/>
      <c r="X679" s="82"/>
      <c r="Y679" s="85"/>
      <c r="Z679" s="35"/>
      <c r="AA679" s="30"/>
      <c r="AB679" s="30"/>
      <c r="AC679" s="105"/>
      <c r="AD679" s="106"/>
      <c r="AE679" s="103"/>
    </row>
    <row r="680" spans="1:31" ht="17.100000000000001" customHeight="1" x14ac:dyDescent="0.25">
      <c r="A680" s="50">
        <v>46023</v>
      </c>
      <c r="B680" s="53"/>
      <c r="C680" s="55"/>
      <c r="D680" s="56"/>
      <c r="E680" s="57"/>
      <c r="F680" s="55"/>
      <c r="G680" s="57"/>
      <c r="H680" s="58"/>
      <c r="I680" s="26"/>
      <c r="J680" s="61"/>
      <c r="K680" s="64"/>
      <c r="L680" s="11"/>
      <c r="M680" s="53"/>
      <c r="N680" s="42"/>
      <c r="O680" s="43"/>
      <c r="P680" s="36"/>
      <c r="Q680" s="43"/>
      <c r="R680" s="36"/>
      <c r="S680" s="37"/>
      <c r="T680" s="76">
        <f t="shared" ref="T680" si="210">R680-P680</f>
        <v>0</v>
      </c>
      <c r="U680" s="77"/>
      <c r="V680" s="80"/>
      <c r="W680" s="80"/>
      <c r="X680" s="80"/>
      <c r="Y680" s="83"/>
      <c r="Z680" s="86"/>
      <c r="AA680" s="48"/>
      <c r="AB680" s="48"/>
      <c r="AC680" s="96"/>
      <c r="AD680" s="99"/>
      <c r="AE680" s="101"/>
    </row>
    <row r="681" spans="1:31" ht="17.100000000000001" customHeight="1" x14ac:dyDescent="0.25">
      <c r="A681" s="51"/>
      <c r="B681" s="54"/>
      <c r="C681" s="68"/>
      <c r="D681" s="69"/>
      <c r="E681" s="70"/>
      <c r="F681" s="68"/>
      <c r="G681" s="70"/>
      <c r="H681" s="59"/>
      <c r="I681" s="24"/>
      <c r="J681" s="62"/>
      <c r="K681" s="65"/>
      <c r="L681" s="17"/>
      <c r="M681" s="54"/>
      <c r="N681" s="44"/>
      <c r="O681" s="45"/>
      <c r="P681" s="38"/>
      <c r="Q681" s="45"/>
      <c r="R681" s="38"/>
      <c r="S681" s="39"/>
      <c r="T681" s="32"/>
      <c r="U681" s="78"/>
      <c r="V681" s="81"/>
      <c r="W681" s="81"/>
      <c r="X681" s="81"/>
      <c r="Y681" s="84"/>
      <c r="Z681" s="34"/>
      <c r="AA681" s="29"/>
      <c r="AB681" s="29"/>
      <c r="AC681" s="97"/>
      <c r="AD681" s="100"/>
      <c r="AE681" s="102"/>
    </row>
    <row r="682" spans="1:31" ht="17.100000000000001" customHeight="1" x14ac:dyDescent="0.25">
      <c r="A682" s="51"/>
      <c r="B682" s="66"/>
      <c r="C682" s="68"/>
      <c r="D682" s="69"/>
      <c r="E682" s="70"/>
      <c r="F682" s="68"/>
      <c r="G682" s="70"/>
      <c r="H682" s="59"/>
      <c r="I682" s="27"/>
      <c r="J682" s="63"/>
      <c r="K682" s="71"/>
      <c r="L682" s="18"/>
      <c r="M682" s="66"/>
      <c r="N682" s="46"/>
      <c r="O682" s="47"/>
      <c r="P682" s="40"/>
      <c r="Q682" s="47"/>
      <c r="R682" s="40"/>
      <c r="S682" s="41"/>
      <c r="T682" s="31">
        <f>(P683-P680)+(R680-R683)</f>
        <v>0</v>
      </c>
      <c r="U682" s="78"/>
      <c r="V682" s="81"/>
      <c r="W682" s="81"/>
      <c r="X682" s="81"/>
      <c r="Y682" s="84"/>
      <c r="Z682" s="87"/>
      <c r="AA682" s="49"/>
      <c r="AB682" s="49"/>
      <c r="AC682" s="98"/>
      <c r="AD682" s="104"/>
      <c r="AE682" s="102"/>
    </row>
    <row r="683" spans="1:31" ht="17.100000000000001" customHeight="1" x14ac:dyDescent="0.25">
      <c r="A683" s="51"/>
      <c r="B683" s="54"/>
      <c r="C683" s="68"/>
      <c r="D683" s="69"/>
      <c r="E683" s="70"/>
      <c r="F683" s="68"/>
      <c r="G683" s="70"/>
      <c r="H683" s="59"/>
      <c r="I683" s="23"/>
      <c r="J683" s="88"/>
      <c r="K683" s="65"/>
      <c r="L683" s="18"/>
      <c r="M683" s="54"/>
      <c r="N683" s="90">
        <f>(P680-N680)+(P683-P680)+(R680-R683)</f>
        <v>0</v>
      </c>
      <c r="O683" s="91"/>
      <c r="P683" s="90"/>
      <c r="Q683" s="91"/>
      <c r="R683" s="90"/>
      <c r="S683" s="94"/>
      <c r="T683" s="32"/>
      <c r="U683" s="78"/>
      <c r="V683" s="81"/>
      <c r="W683" s="81"/>
      <c r="X683" s="81"/>
      <c r="Y683" s="84"/>
      <c r="Z683" s="34"/>
      <c r="AA683" s="28"/>
      <c r="AB683" s="28"/>
      <c r="AC683" s="97"/>
      <c r="AD683" s="100"/>
      <c r="AE683" s="102"/>
    </row>
    <row r="684" spans="1:31" ht="17.100000000000001" customHeight="1" x14ac:dyDescent="0.25">
      <c r="A684" s="51"/>
      <c r="B684" s="66"/>
      <c r="C684" s="68"/>
      <c r="D684" s="69"/>
      <c r="E684" s="70"/>
      <c r="F684" s="68"/>
      <c r="G684" s="70"/>
      <c r="H684" s="59"/>
      <c r="I684" s="24"/>
      <c r="J684" s="62"/>
      <c r="K684" s="71" t="s">
        <v>51</v>
      </c>
      <c r="L684" s="16" t="s">
        <v>51</v>
      </c>
      <c r="M684" s="66" t="s">
        <v>51</v>
      </c>
      <c r="N684" s="38"/>
      <c r="O684" s="45"/>
      <c r="P684" s="38"/>
      <c r="Q684" s="45"/>
      <c r="R684" s="38"/>
      <c r="S684" s="39"/>
      <c r="T684" s="31">
        <f t="shared" ref="T684" si="211">R683-P683</f>
        <v>0</v>
      </c>
      <c r="U684" s="78"/>
      <c r="V684" s="81"/>
      <c r="W684" s="81"/>
      <c r="X684" s="81"/>
      <c r="Y684" s="84"/>
      <c r="Z684" s="34"/>
      <c r="AA684" s="29"/>
      <c r="AB684" s="29"/>
      <c r="AC684" s="97"/>
      <c r="AD684" s="104"/>
      <c r="AE684" s="102"/>
    </row>
    <row r="685" spans="1:31" ht="17.100000000000001" customHeight="1" thickBot="1" x14ac:dyDescent="0.3">
      <c r="A685" s="52"/>
      <c r="B685" s="67"/>
      <c r="C685" s="73"/>
      <c r="D685" s="74"/>
      <c r="E685" s="75"/>
      <c r="F685" s="73"/>
      <c r="G685" s="75"/>
      <c r="H685" s="60"/>
      <c r="I685" s="25"/>
      <c r="J685" s="89"/>
      <c r="K685" s="72"/>
      <c r="L685" s="19" t="s">
        <v>52</v>
      </c>
      <c r="M685" s="67"/>
      <c r="N685" s="92"/>
      <c r="O685" s="93"/>
      <c r="P685" s="92"/>
      <c r="Q685" s="93"/>
      <c r="R685" s="92"/>
      <c r="S685" s="95"/>
      <c r="T685" s="33"/>
      <c r="U685" s="79"/>
      <c r="V685" s="82"/>
      <c r="W685" s="82"/>
      <c r="X685" s="82"/>
      <c r="Y685" s="85"/>
      <c r="Z685" s="35"/>
      <c r="AA685" s="30"/>
      <c r="AB685" s="30"/>
      <c r="AC685" s="105"/>
      <c r="AD685" s="106"/>
      <c r="AE685" s="103"/>
    </row>
    <row r="686" spans="1:31" ht="17.100000000000001" customHeight="1" x14ac:dyDescent="0.25">
      <c r="A686" s="50">
        <v>46023</v>
      </c>
      <c r="B686" s="53"/>
      <c r="C686" s="55"/>
      <c r="D686" s="56"/>
      <c r="E686" s="57"/>
      <c r="F686" s="55"/>
      <c r="G686" s="57"/>
      <c r="H686" s="58"/>
      <c r="I686" s="26"/>
      <c r="J686" s="61"/>
      <c r="K686" s="64"/>
      <c r="L686" s="11"/>
      <c r="M686" s="53"/>
      <c r="N686" s="42"/>
      <c r="O686" s="43"/>
      <c r="P686" s="36"/>
      <c r="Q686" s="43"/>
      <c r="R686" s="36"/>
      <c r="S686" s="37"/>
      <c r="T686" s="76">
        <f t="shared" ref="T686" si="212">R686-P686</f>
        <v>0</v>
      </c>
      <c r="U686" s="77"/>
      <c r="V686" s="80"/>
      <c r="W686" s="80"/>
      <c r="X686" s="80"/>
      <c r="Y686" s="83"/>
      <c r="Z686" s="86"/>
      <c r="AA686" s="48"/>
      <c r="AB686" s="48"/>
      <c r="AC686" s="96"/>
      <c r="AD686" s="99"/>
      <c r="AE686" s="101"/>
    </row>
    <row r="687" spans="1:31" ht="17.100000000000001" customHeight="1" x14ac:dyDescent="0.25">
      <c r="A687" s="51"/>
      <c r="B687" s="54"/>
      <c r="C687" s="68"/>
      <c r="D687" s="69"/>
      <c r="E687" s="70"/>
      <c r="F687" s="68"/>
      <c r="G687" s="70"/>
      <c r="H687" s="59"/>
      <c r="I687" s="24"/>
      <c r="J687" s="62"/>
      <c r="K687" s="65"/>
      <c r="L687" s="17"/>
      <c r="M687" s="54"/>
      <c r="N687" s="44"/>
      <c r="O687" s="45"/>
      <c r="P687" s="38"/>
      <c r="Q687" s="45"/>
      <c r="R687" s="38"/>
      <c r="S687" s="39"/>
      <c r="T687" s="32"/>
      <c r="U687" s="78"/>
      <c r="V687" s="81"/>
      <c r="W687" s="81"/>
      <c r="X687" s="81"/>
      <c r="Y687" s="84"/>
      <c r="Z687" s="34"/>
      <c r="AA687" s="29"/>
      <c r="AB687" s="29"/>
      <c r="AC687" s="97"/>
      <c r="AD687" s="100"/>
      <c r="AE687" s="102"/>
    </row>
    <row r="688" spans="1:31" ht="17.100000000000001" customHeight="1" x14ac:dyDescent="0.25">
      <c r="A688" s="51"/>
      <c r="B688" s="66"/>
      <c r="C688" s="68"/>
      <c r="D688" s="69"/>
      <c r="E688" s="70"/>
      <c r="F688" s="68"/>
      <c r="G688" s="70"/>
      <c r="H688" s="59"/>
      <c r="I688" s="27"/>
      <c r="J688" s="63"/>
      <c r="K688" s="71"/>
      <c r="L688" s="18"/>
      <c r="M688" s="66"/>
      <c r="N688" s="46"/>
      <c r="O688" s="47"/>
      <c r="P688" s="40"/>
      <c r="Q688" s="47"/>
      <c r="R688" s="40"/>
      <c r="S688" s="41"/>
      <c r="T688" s="31">
        <f>(P689-P686)+(R686-R689)</f>
        <v>0</v>
      </c>
      <c r="U688" s="78"/>
      <c r="V688" s="81"/>
      <c r="W688" s="81"/>
      <c r="X688" s="81"/>
      <c r="Y688" s="84"/>
      <c r="Z688" s="87"/>
      <c r="AA688" s="49"/>
      <c r="AB688" s="49"/>
      <c r="AC688" s="98"/>
      <c r="AD688" s="104"/>
      <c r="AE688" s="102"/>
    </row>
    <row r="689" spans="1:31" ht="17.100000000000001" customHeight="1" x14ac:dyDescent="0.25">
      <c r="A689" s="51"/>
      <c r="B689" s="54"/>
      <c r="C689" s="68"/>
      <c r="D689" s="69"/>
      <c r="E689" s="70"/>
      <c r="F689" s="68"/>
      <c r="G689" s="70"/>
      <c r="H689" s="59"/>
      <c r="I689" s="23"/>
      <c r="J689" s="88"/>
      <c r="K689" s="65"/>
      <c r="L689" s="18"/>
      <c r="M689" s="54"/>
      <c r="N689" s="90">
        <f>(P686-N686)+(P689-P686)+(R686-R689)</f>
        <v>0</v>
      </c>
      <c r="O689" s="91"/>
      <c r="P689" s="90"/>
      <c r="Q689" s="91"/>
      <c r="R689" s="90"/>
      <c r="S689" s="94"/>
      <c r="T689" s="32"/>
      <c r="U689" s="78"/>
      <c r="V689" s="81"/>
      <c r="W689" s="81"/>
      <c r="X689" s="81"/>
      <c r="Y689" s="84"/>
      <c r="Z689" s="34"/>
      <c r="AA689" s="28"/>
      <c r="AB689" s="28"/>
      <c r="AC689" s="97"/>
      <c r="AD689" s="100"/>
      <c r="AE689" s="102"/>
    </row>
    <row r="690" spans="1:31" ht="17.100000000000001" customHeight="1" x14ac:dyDescent="0.25">
      <c r="A690" s="51"/>
      <c r="B690" s="66"/>
      <c r="C690" s="68"/>
      <c r="D690" s="69"/>
      <c r="E690" s="70"/>
      <c r="F690" s="68"/>
      <c r="G690" s="70"/>
      <c r="H690" s="59"/>
      <c r="I690" s="24"/>
      <c r="J690" s="62"/>
      <c r="K690" s="71" t="s">
        <v>51</v>
      </c>
      <c r="L690" s="16" t="s">
        <v>51</v>
      </c>
      <c r="M690" s="66" t="s">
        <v>51</v>
      </c>
      <c r="N690" s="38"/>
      <c r="O690" s="45"/>
      <c r="P690" s="38"/>
      <c r="Q690" s="45"/>
      <c r="R690" s="38"/>
      <c r="S690" s="39"/>
      <c r="T690" s="31">
        <f t="shared" ref="T690" si="213">R689-P689</f>
        <v>0</v>
      </c>
      <c r="U690" s="78"/>
      <c r="V690" s="81"/>
      <c r="W690" s="81"/>
      <c r="X690" s="81"/>
      <c r="Y690" s="84"/>
      <c r="Z690" s="34"/>
      <c r="AA690" s="29"/>
      <c r="AB690" s="29"/>
      <c r="AC690" s="97"/>
      <c r="AD690" s="104"/>
      <c r="AE690" s="102"/>
    </row>
    <row r="691" spans="1:31" ht="17.100000000000001" customHeight="1" thickBot="1" x14ac:dyDescent="0.3">
      <c r="A691" s="52"/>
      <c r="B691" s="67"/>
      <c r="C691" s="73"/>
      <c r="D691" s="74"/>
      <c r="E691" s="75"/>
      <c r="F691" s="73"/>
      <c r="G691" s="75"/>
      <c r="H691" s="60"/>
      <c r="I691" s="25"/>
      <c r="J691" s="89"/>
      <c r="K691" s="72"/>
      <c r="L691" s="19" t="s">
        <v>52</v>
      </c>
      <c r="M691" s="67"/>
      <c r="N691" s="92"/>
      <c r="O691" s="93"/>
      <c r="P691" s="92"/>
      <c r="Q691" s="93"/>
      <c r="R691" s="92"/>
      <c r="S691" s="95"/>
      <c r="T691" s="33"/>
      <c r="U691" s="79"/>
      <c r="V691" s="82"/>
      <c r="W691" s="82"/>
      <c r="X691" s="82"/>
      <c r="Y691" s="85"/>
      <c r="Z691" s="35"/>
      <c r="AA691" s="30"/>
      <c r="AB691" s="30"/>
      <c r="AC691" s="105"/>
      <c r="AD691" s="106"/>
      <c r="AE691" s="103"/>
    </row>
    <row r="692" spans="1:31" ht="17.100000000000001" customHeight="1" x14ac:dyDescent="0.25">
      <c r="A692" s="50">
        <v>46023</v>
      </c>
      <c r="B692" s="53"/>
      <c r="C692" s="55"/>
      <c r="D692" s="56"/>
      <c r="E692" s="57"/>
      <c r="F692" s="55"/>
      <c r="G692" s="57"/>
      <c r="H692" s="58"/>
      <c r="I692" s="26"/>
      <c r="J692" s="61"/>
      <c r="K692" s="64"/>
      <c r="L692" s="11"/>
      <c r="M692" s="53"/>
      <c r="N692" s="42"/>
      <c r="O692" s="43"/>
      <c r="P692" s="36"/>
      <c r="Q692" s="43"/>
      <c r="R692" s="36"/>
      <c r="S692" s="37"/>
      <c r="T692" s="76">
        <f t="shared" ref="T692" si="214">R692-P692</f>
        <v>0</v>
      </c>
      <c r="U692" s="77"/>
      <c r="V692" s="80"/>
      <c r="W692" s="80"/>
      <c r="X692" s="80"/>
      <c r="Y692" s="83"/>
      <c r="Z692" s="86"/>
      <c r="AA692" s="48"/>
      <c r="AB692" s="48"/>
      <c r="AC692" s="96"/>
      <c r="AD692" s="99"/>
      <c r="AE692" s="101"/>
    </row>
    <row r="693" spans="1:31" ht="17.100000000000001" customHeight="1" x14ac:dyDescent="0.25">
      <c r="A693" s="51"/>
      <c r="B693" s="54"/>
      <c r="C693" s="68"/>
      <c r="D693" s="69"/>
      <c r="E693" s="70"/>
      <c r="F693" s="68"/>
      <c r="G693" s="70"/>
      <c r="H693" s="59"/>
      <c r="I693" s="24"/>
      <c r="J693" s="62"/>
      <c r="K693" s="65"/>
      <c r="L693" s="17"/>
      <c r="M693" s="54"/>
      <c r="N693" s="44"/>
      <c r="O693" s="45"/>
      <c r="P693" s="38"/>
      <c r="Q693" s="45"/>
      <c r="R693" s="38"/>
      <c r="S693" s="39"/>
      <c r="T693" s="32"/>
      <c r="U693" s="78"/>
      <c r="V693" s="81"/>
      <c r="W693" s="81"/>
      <c r="X693" s="81"/>
      <c r="Y693" s="84"/>
      <c r="Z693" s="34"/>
      <c r="AA693" s="29"/>
      <c r="AB693" s="29"/>
      <c r="AC693" s="97"/>
      <c r="AD693" s="100"/>
      <c r="AE693" s="102"/>
    </row>
    <row r="694" spans="1:31" ht="17.100000000000001" customHeight="1" x14ac:dyDescent="0.25">
      <c r="A694" s="51"/>
      <c r="B694" s="66"/>
      <c r="C694" s="68"/>
      <c r="D694" s="69"/>
      <c r="E694" s="70"/>
      <c r="F694" s="68"/>
      <c r="G694" s="70"/>
      <c r="H694" s="59"/>
      <c r="I694" s="27"/>
      <c r="J694" s="63"/>
      <c r="K694" s="71"/>
      <c r="L694" s="18"/>
      <c r="M694" s="66"/>
      <c r="N694" s="46"/>
      <c r="O694" s="47"/>
      <c r="P694" s="40"/>
      <c r="Q694" s="47"/>
      <c r="R694" s="40"/>
      <c r="S694" s="41"/>
      <c r="T694" s="31">
        <f>(P695-P692)+(R692-R695)</f>
        <v>0</v>
      </c>
      <c r="U694" s="78"/>
      <c r="V694" s="81"/>
      <c r="W694" s="81"/>
      <c r="X694" s="81"/>
      <c r="Y694" s="84"/>
      <c r="Z694" s="87"/>
      <c r="AA694" s="49"/>
      <c r="AB694" s="49"/>
      <c r="AC694" s="98"/>
      <c r="AD694" s="104"/>
      <c r="AE694" s="102"/>
    </row>
    <row r="695" spans="1:31" ht="17.100000000000001" customHeight="1" x14ac:dyDescent="0.25">
      <c r="A695" s="51"/>
      <c r="B695" s="54"/>
      <c r="C695" s="68"/>
      <c r="D695" s="69"/>
      <c r="E695" s="70"/>
      <c r="F695" s="68"/>
      <c r="G695" s="70"/>
      <c r="H695" s="59"/>
      <c r="I695" s="23"/>
      <c r="J695" s="88"/>
      <c r="K695" s="65"/>
      <c r="L695" s="18"/>
      <c r="M695" s="54"/>
      <c r="N695" s="90">
        <f>(P692-N692)+(P695-P692)+(R692-R695)</f>
        <v>0</v>
      </c>
      <c r="O695" s="91"/>
      <c r="P695" s="90"/>
      <c r="Q695" s="91"/>
      <c r="R695" s="90"/>
      <c r="S695" s="94"/>
      <c r="T695" s="32"/>
      <c r="U695" s="78"/>
      <c r="V695" s="81"/>
      <c r="W695" s="81"/>
      <c r="X695" s="81"/>
      <c r="Y695" s="84"/>
      <c r="Z695" s="34"/>
      <c r="AA695" s="28"/>
      <c r="AB695" s="28"/>
      <c r="AC695" s="97"/>
      <c r="AD695" s="100"/>
      <c r="AE695" s="102"/>
    </row>
    <row r="696" spans="1:31" ht="17.100000000000001" customHeight="1" x14ac:dyDescent="0.25">
      <c r="A696" s="51"/>
      <c r="B696" s="66"/>
      <c r="C696" s="68"/>
      <c r="D696" s="69"/>
      <c r="E696" s="70"/>
      <c r="F696" s="68"/>
      <c r="G696" s="70"/>
      <c r="H696" s="59"/>
      <c r="I696" s="24"/>
      <c r="J696" s="62"/>
      <c r="K696" s="71" t="s">
        <v>51</v>
      </c>
      <c r="L696" s="16" t="s">
        <v>51</v>
      </c>
      <c r="M696" s="66" t="s">
        <v>51</v>
      </c>
      <c r="N696" s="38"/>
      <c r="O696" s="45"/>
      <c r="P696" s="38"/>
      <c r="Q696" s="45"/>
      <c r="R696" s="38"/>
      <c r="S696" s="39"/>
      <c r="T696" s="31">
        <f t="shared" ref="T696" si="215">R695-P695</f>
        <v>0</v>
      </c>
      <c r="U696" s="78"/>
      <c r="V696" s="81"/>
      <c r="W696" s="81"/>
      <c r="X696" s="81"/>
      <c r="Y696" s="84"/>
      <c r="Z696" s="34"/>
      <c r="AA696" s="29"/>
      <c r="AB696" s="29"/>
      <c r="AC696" s="97"/>
      <c r="AD696" s="104"/>
      <c r="AE696" s="102"/>
    </row>
    <row r="697" spans="1:31" ht="17.100000000000001" customHeight="1" thickBot="1" x14ac:dyDescent="0.3">
      <c r="A697" s="52"/>
      <c r="B697" s="67"/>
      <c r="C697" s="73"/>
      <c r="D697" s="74"/>
      <c r="E697" s="75"/>
      <c r="F697" s="73"/>
      <c r="G697" s="75"/>
      <c r="H697" s="60"/>
      <c r="I697" s="25"/>
      <c r="J697" s="89"/>
      <c r="K697" s="72"/>
      <c r="L697" s="19" t="s">
        <v>52</v>
      </c>
      <c r="M697" s="67"/>
      <c r="N697" s="92"/>
      <c r="O697" s="93"/>
      <c r="P697" s="92"/>
      <c r="Q697" s="93"/>
      <c r="R697" s="92"/>
      <c r="S697" s="95"/>
      <c r="T697" s="33"/>
      <c r="U697" s="79"/>
      <c r="V697" s="82"/>
      <c r="W697" s="82"/>
      <c r="X697" s="82"/>
      <c r="Y697" s="85"/>
      <c r="Z697" s="35"/>
      <c r="AA697" s="30"/>
      <c r="AB697" s="30"/>
      <c r="AC697" s="105"/>
      <c r="AD697" s="106"/>
      <c r="AE697" s="103"/>
    </row>
    <row r="698" spans="1:31" ht="17.100000000000001" customHeight="1" x14ac:dyDescent="0.25">
      <c r="A698" s="50">
        <v>46023</v>
      </c>
      <c r="B698" s="53"/>
      <c r="C698" s="55"/>
      <c r="D698" s="56"/>
      <c r="E698" s="57"/>
      <c r="F698" s="55"/>
      <c r="G698" s="57"/>
      <c r="H698" s="58"/>
      <c r="I698" s="26"/>
      <c r="J698" s="61"/>
      <c r="K698" s="64"/>
      <c r="L698" s="11"/>
      <c r="M698" s="53"/>
      <c r="N698" s="42"/>
      <c r="O698" s="43"/>
      <c r="P698" s="36"/>
      <c r="Q698" s="43"/>
      <c r="R698" s="36"/>
      <c r="S698" s="37"/>
      <c r="T698" s="76">
        <f t="shared" ref="T698" si="216">R698-P698</f>
        <v>0</v>
      </c>
      <c r="U698" s="77"/>
      <c r="V698" s="80"/>
      <c r="W698" s="80"/>
      <c r="X698" s="80"/>
      <c r="Y698" s="83"/>
      <c r="Z698" s="86"/>
      <c r="AA698" s="48"/>
      <c r="AB698" s="48"/>
      <c r="AC698" s="96"/>
      <c r="AD698" s="99"/>
      <c r="AE698" s="101"/>
    </row>
    <row r="699" spans="1:31" ht="17.100000000000001" customHeight="1" x14ac:dyDescent="0.25">
      <c r="A699" s="51"/>
      <c r="B699" s="54"/>
      <c r="C699" s="68"/>
      <c r="D699" s="69"/>
      <c r="E699" s="70"/>
      <c r="F699" s="68"/>
      <c r="G699" s="70"/>
      <c r="H699" s="59"/>
      <c r="I699" s="24"/>
      <c r="J699" s="62"/>
      <c r="K699" s="65"/>
      <c r="L699" s="17"/>
      <c r="M699" s="54"/>
      <c r="N699" s="44"/>
      <c r="O699" s="45"/>
      <c r="P699" s="38"/>
      <c r="Q699" s="45"/>
      <c r="R699" s="38"/>
      <c r="S699" s="39"/>
      <c r="T699" s="32"/>
      <c r="U699" s="78"/>
      <c r="V699" s="81"/>
      <c r="W699" s="81"/>
      <c r="X699" s="81"/>
      <c r="Y699" s="84"/>
      <c r="Z699" s="34"/>
      <c r="AA699" s="29"/>
      <c r="AB699" s="29"/>
      <c r="AC699" s="97"/>
      <c r="AD699" s="100"/>
      <c r="AE699" s="102"/>
    </row>
    <row r="700" spans="1:31" ht="17.100000000000001" customHeight="1" x14ac:dyDescent="0.25">
      <c r="A700" s="51"/>
      <c r="B700" s="66"/>
      <c r="C700" s="68"/>
      <c r="D700" s="69"/>
      <c r="E700" s="70"/>
      <c r="F700" s="68"/>
      <c r="G700" s="70"/>
      <c r="H700" s="59"/>
      <c r="I700" s="27"/>
      <c r="J700" s="63"/>
      <c r="K700" s="71"/>
      <c r="L700" s="18"/>
      <c r="M700" s="66"/>
      <c r="N700" s="46"/>
      <c r="O700" s="47"/>
      <c r="P700" s="40"/>
      <c r="Q700" s="47"/>
      <c r="R700" s="40"/>
      <c r="S700" s="41"/>
      <c r="T700" s="31">
        <f>(P701-P698)+(R698-R701)</f>
        <v>0</v>
      </c>
      <c r="U700" s="78"/>
      <c r="V700" s="81"/>
      <c r="W700" s="81"/>
      <c r="X700" s="81"/>
      <c r="Y700" s="84"/>
      <c r="Z700" s="87"/>
      <c r="AA700" s="49"/>
      <c r="AB700" s="49"/>
      <c r="AC700" s="98"/>
      <c r="AD700" s="104"/>
      <c r="AE700" s="102"/>
    </row>
    <row r="701" spans="1:31" ht="17.100000000000001" customHeight="1" x14ac:dyDescent="0.25">
      <c r="A701" s="51"/>
      <c r="B701" s="54"/>
      <c r="C701" s="68"/>
      <c r="D701" s="69"/>
      <c r="E701" s="70"/>
      <c r="F701" s="68"/>
      <c r="G701" s="70"/>
      <c r="H701" s="59"/>
      <c r="I701" s="23"/>
      <c r="J701" s="88"/>
      <c r="K701" s="65"/>
      <c r="L701" s="18"/>
      <c r="M701" s="54"/>
      <c r="N701" s="90">
        <f>(P698-N698)+(P701-P698)+(R698-R701)</f>
        <v>0</v>
      </c>
      <c r="O701" s="91"/>
      <c r="P701" s="90"/>
      <c r="Q701" s="91"/>
      <c r="R701" s="90"/>
      <c r="S701" s="94"/>
      <c r="T701" s="32"/>
      <c r="U701" s="78"/>
      <c r="V701" s="81"/>
      <c r="W701" s="81"/>
      <c r="X701" s="81"/>
      <c r="Y701" s="84"/>
      <c r="Z701" s="34"/>
      <c r="AA701" s="28"/>
      <c r="AB701" s="28"/>
      <c r="AC701" s="97"/>
      <c r="AD701" s="100"/>
      <c r="AE701" s="102"/>
    </row>
    <row r="702" spans="1:31" ht="17.100000000000001" customHeight="1" x14ac:dyDescent="0.25">
      <c r="A702" s="51"/>
      <c r="B702" s="66"/>
      <c r="C702" s="68"/>
      <c r="D702" s="69"/>
      <c r="E702" s="70"/>
      <c r="F702" s="68"/>
      <c r="G702" s="70"/>
      <c r="H702" s="59"/>
      <c r="I702" s="24"/>
      <c r="J702" s="62"/>
      <c r="K702" s="71" t="s">
        <v>51</v>
      </c>
      <c r="L702" s="16" t="s">
        <v>51</v>
      </c>
      <c r="M702" s="66" t="s">
        <v>51</v>
      </c>
      <c r="N702" s="38"/>
      <c r="O702" s="45"/>
      <c r="P702" s="38"/>
      <c r="Q702" s="45"/>
      <c r="R702" s="38"/>
      <c r="S702" s="39"/>
      <c r="T702" s="31">
        <f t="shared" ref="T702" si="217">R701-P701</f>
        <v>0</v>
      </c>
      <c r="U702" s="78"/>
      <c r="V702" s="81"/>
      <c r="W702" s="81"/>
      <c r="X702" s="81"/>
      <c r="Y702" s="84"/>
      <c r="Z702" s="34"/>
      <c r="AA702" s="29"/>
      <c r="AB702" s="29"/>
      <c r="AC702" s="97"/>
      <c r="AD702" s="104"/>
      <c r="AE702" s="102"/>
    </row>
    <row r="703" spans="1:31" ht="17.100000000000001" customHeight="1" thickBot="1" x14ac:dyDescent="0.3">
      <c r="A703" s="52"/>
      <c r="B703" s="67"/>
      <c r="C703" s="73"/>
      <c r="D703" s="74"/>
      <c r="E703" s="75"/>
      <c r="F703" s="73"/>
      <c r="G703" s="75"/>
      <c r="H703" s="60"/>
      <c r="I703" s="25"/>
      <c r="J703" s="89"/>
      <c r="K703" s="72"/>
      <c r="L703" s="19" t="s">
        <v>52</v>
      </c>
      <c r="M703" s="67"/>
      <c r="N703" s="92"/>
      <c r="O703" s="93"/>
      <c r="P703" s="92"/>
      <c r="Q703" s="93"/>
      <c r="R703" s="92"/>
      <c r="S703" s="95"/>
      <c r="T703" s="33"/>
      <c r="U703" s="79"/>
      <c r="V703" s="82"/>
      <c r="W703" s="82"/>
      <c r="X703" s="82"/>
      <c r="Y703" s="85"/>
      <c r="Z703" s="35"/>
      <c r="AA703" s="30"/>
      <c r="AB703" s="30"/>
      <c r="AC703" s="105"/>
      <c r="AD703" s="106"/>
      <c r="AE703" s="103"/>
    </row>
    <row r="705" spans="1:31" ht="17.100000000000001" customHeight="1" thickBot="1" x14ac:dyDescent="0.3"/>
    <row r="706" spans="1:31" ht="17.100000000000001" customHeight="1" x14ac:dyDescent="0.25">
      <c r="A706" s="50">
        <v>46023</v>
      </c>
      <c r="B706" s="53"/>
      <c r="C706" s="55"/>
      <c r="D706" s="56"/>
      <c r="E706" s="57"/>
      <c r="F706" s="55"/>
      <c r="G706" s="57"/>
      <c r="H706" s="58"/>
      <c r="I706" s="26"/>
      <c r="J706" s="61"/>
      <c r="K706" s="64"/>
      <c r="L706" s="11"/>
      <c r="M706" s="53"/>
      <c r="N706" s="42"/>
      <c r="O706" s="43"/>
      <c r="P706" s="36"/>
      <c r="Q706" s="43"/>
      <c r="R706" s="36"/>
      <c r="S706" s="37"/>
      <c r="T706" s="76">
        <f t="shared" ref="T706" si="218">R706-P706</f>
        <v>0</v>
      </c>
      <c r="U706" s="77"/>
      <c r="V706" s="80"/>
      <c r="W706" s="80"/>
      <c r="X706" s="80"/>
      <c r="Y706" s="83"/>
      <c r="Z706" s="86"/>
      <c r="AA706" s="48"/>
      <c r="AB706" s="48"/>
      <c r="AC706" s="96"/>
      <c r="AD706" s="99"/>
      <c r="AE706" s="101"/>
    </row>
    <row r="707" spans="1:31" ht="17.100000000000001" customHeight="1" x14ac:dyDescent="0.25">
      <c r="A707" s="51"/>
      <c r="B707" s="54"/>
      <c r="C707" s="68"/>
      <c r="D707" s="69"/>
      <c r="E707" s="70"/>
      <c r="F707" s="68"/>
      <c r="G707" s="70"/>
      <c r="H707" s="59"/>
      <c r="I707" s="24"/>
      <c r="J707" s="62"/>
      <c r="K707" s="65"/>
      <c r="L707" s="17"/>
      <c r="M707" s="54"/>
      <c r="N707" s="44"/>
      <c r="O707" s="45"/>
      <c r="P707" s="38"/>
      <c r="Q707" s="45"/>
      <c r="R707" s="38"/>
      <c r="S707" s="39"/>
      <c r="T707" s="32"/>
      <c r="U707" s="78"/>
      <c r="V707" s="81"/>
      <c r="W707" s="81"/>
      <c r="X707" s="81"/>
      <c r="Y707" s="84"/>
      <c r="Z707" s="34"/>
      <c r="AA707" s="29"/>
      <c r="AB707" s="29"/>
      <c r="AC707" s="97"/>
      <c r="AD707" s="100"/>
      <c r="AE707" s="102"/>
    </row>
    <row r="708" spans="1:31" ht="17.100000000000001" customHeight="1" x14ac:dyDescent="0.25">
      <c r="A708" s="51"/>
      <c r="B708" s="66"/>
      <c r="C708" s="68"/>
      <c r="D708" s="69"/>
      <c r="E708" s="70"/>
      <c r="F708" s="68"/>
      <c r="G708" s="70"/>
      <c r="H708" s="59"/>
      <c r="I708" s="27"/>
      <c r="J708" s="63"/>
      <c r="K708" s="71"/>
      <c r="L708" s="18"/>
      <c r="M708" s="66"/>
      <c r="N708" s="46"/>
      <c r="O708" s="47"/>
      <c r="P708" s="40"/>
      <c r="Q708" s="47"/>
      <c r="R708" s="40"/>
      <c r="S708" s="41"/>
      <c r="T708" s="31">
        <f>(P709-P706)+(R706-R709)</f>
        <v>0</v>
      </c>
      <c r="U708" s="78"/>
      <c r="V708" s="81"/>
      <c r="W708" s="81"/>
      <c r="X708" s="81"/>
      <c r="Y708" s="84"/>
      <c r="Z708" s="87"/>
      <c r="AA708" s="49"/>
      <c r="AB708" s="49"/>
      <c r="AC708" s="98"/>
      <c r="AD708" s="104"/>
      <c r="AE708" s="102"/>
    </row>
    <row r="709" spans="1:31" ht="17.100000000000001" customHeight="1" x14ac:dyDescent="0.25">
      <c r="A709" s="51"/>
      <c r="B709" s="54"/>
      <c r="C709" s="68"/>
      <c r="D709" s="69"/>
      <c r="E709" s="70"/>
      <c r="F709" s="68"/>
      <c r="G709" s="70"/>
      <c r="H709" s="59"/>
      <c r="I709" s="23"/>
      <c r="J709" s="88"/>
      <c r="K709" s="65"/>
      <c r="L709" s="18"/>
      <c r="M709" s="54"/>
      <c r="N709" s="90">
        <f>(P706-N706)+(P709-P706)+(R706-R709)</f>
        <v>0</v>
      </c>
      <c r="O709" s="91"/>
      <c r="P709" s="90"/>
      <c r="Q709" s="91"/>
      <c r="R709" s="90"/>
      <c r="S709" s="94"/>
      <c r="T709" s="32"/>
      <c r="U709" s="78"/>
      <c r="V709" s="81"/>
      <c r="W709" s="81"/>
      <c r="X709" s="81"/>
      <c r="Y709" s="84"/>
      <c r="Z709" s="34"/>
      <c r="AA709" s="28"/>
      <c r="AB709" s="28"/>
      <c r="AC709" s="97"/>
      <c r="AD709" s="100"/>
      <c r="AE709" s="102"/>
    </row>
    <row r="710" spans="1:31" ht="17.100000000000001" customHeight="1" x14ac:dyDescent="0.25">
      <c r="A710" s="51"/>
      <c r="B710" s="66"/>
      <c r="C710" s="68"/>
      <c r="D710" s="69"/>
      <c r="E710" s="70"/>
      <c r="F710" s="68"/>
      <c r="G710" s="70"/>
      <c r="H710" s="59"/>
      <c r="I710" s="24"/>
      <c r="J710" s="62"/>
      <c r="K710" s="71" t="s">
        <v>51</v>
      </c>
      <c r="L710" s="16" t="s">
        <v>51</v>
      </c>
      <c r="M710" s="66" t="s">
        <v>51</v>
      </c>
      <c r="N710" s="38"/>
      <c r="O710" s="45"/>
      <c r="P710" s="38"/>
      <c r="Q710" s="45"/>
      <c r="R710" s="38"/>
      <c r="S710" s="39"/>
      <c r="T710" s="31">
        <f t="shared" ref="T710" si="219">R709-P709</f>
        <v>0</v>
      </c>
      <c r="U710" s="78"/>
      <c r="V710" s="81"/>
      <c r="W710" s="81"/>
      <c r="X710" s="81"/>
      <c r="Y710" s="84"/>
      <c r="Z710" s="34"/>
      <c r="AA710" s="29"/>
      <c r="AB710" s="29"/>
      <c r="AC710" s="97"/>
      <c r="AD710" s="104"/>
      <c r="AE710" s="102"/>
    </row>
    <row r="711" spans="1:31" ht="17.100000000000001" customHeight="1" thickBot="1" x14ac:dyDescent="0.3">
      <c r="A711" s="52"/>
      <c r="B711" s="67"/>
      <c r="C711" s="73"/>
      <c r="D711" s="74"/>
      <c r="E711" s="75"/>
      <c r="F711" s="73"/>
      <c r="G711" s="75"/>
      <c r="H711" s="60"/>
      <c r="I711" s="25"/>
      <c r="J711" s="89"/>
      <c r="K711" s="72"/>
      <c r="L711" s="19" t="s">
        <v>52</v>
      </c>
      <c r="M711" s="67"/>
      <c r="N711" s="92"/>
      <c r="O711" s="93"/>
      <c r="P711" s="92"/>
      <c r="Q711" s="93"/>
      <c r="R711" s="92"/>
      <c r="S711" s="95"/>
      <c r="T711" s="33"/>
      <c r="U711" s="79"/>
      <c r="V711" s="82"/>
      <c r="W711" s="82"/>
      <c r="X711" s="82"/>
      <c r="Y711" s="85"/>
      <c r="Z711" s="35"/>
      <c r="AA711" s="30"/>
      <c r="AB711" s="30"/>
      <c r="AC711" s="105"/>
      <c r="AD711" s="106"/>
      <c r="AE711" s="103"/>
    </row>
    <row r="712" spans="1:31" ht="17.100000000000001" customHeight="1" x14ac:dyDescent="0.25">
      <c r="A712" s="50">
        <v>46023</v>
      </c>
      <c r="B712" s="53"/>
      <c r="C712" s="55"/>
      <c r="D712" s="56"/>
      <c r="E712" s="57"/>
      <c r="F712" s="55"/>
      <c r="G712" s="57"/>
      <c r="H712" s="58"/>
      <c r="I712" s="26"/>
      <c r="J712" s="61"/>
      <c r="K712" s="64"/>
      <c r="L712" s="11"/>
      <c r="M712" s="53"/>
      <c r="N712" s="42"/>
      <c r="O712" s="43"/>
      <c r="P712" s="36"/>
      <c r="Q712" s="43"/>
      <c r="R712" s="36"/>
      <c r="S712" s="37"/>
      <c r="T712" s="76">
        <f t="shared" ref="T712" si="220">R712-P712</f>
        <v>0</v>
      </c>
      <c r="U712" s="77"/>
      <c r="V712" s="80"/>
      <c r="W712" s="80"/>
      <c r="X712" s="80"/>
      <c r="Y712" s="83"/>
      <c r="Z712" s="86"/>
      <c r="AA712" s="48"/>
      <c r="AB712" s="48"/>
      <c r="AC712" s="96"/>
      <c r="AD712" s="99"/>
      <c r="AE712" s="101"/>
    </row>
    <row r="713" spans="1:31" ht="17.100000000000001" customHeight="1" x14ac:dyDescent="0.25">
      <c r="A713" s="51"/>
      <c r="B713" s="54"/>
      <c r="C713" s="68"/>
      <c r="D713" s="69"/>
      <c r="E713" s="70"/>
      <c r="F713" s="68"/>
      <c r="G713" s="70"/>
      <c r="H713" s="59"/>
      <c r="I713" s="24"/>
      <c r="J713" s="62"/>
      <c r="K713" s="65"/>
      <c r="L713" s="17"/>
      <c r="M713" s="54"/>
      <c r="N713" s="44"/>
      <c r="O713" s="45"/>
      <c r="P713" s="38"/>
      <c r="Q713" s="45"/>
      <c r="R713" s="38"/>
      <c r="S713" s="39"/>
      <c r="T713" s="32"/>
      <c r="U713" s="78"/>
      <c r="V713" s="81"/>
      <c r="W713" s="81"/>
      <c r="X713" s="81"/>
      <c r="Y713" s="84"/>
      <c r="Z713" s="34"/>
      <c r="AA713" s="29"/>
      <c r="AB713" s="29"/>
      <c r="AC713" s="97"/>
      <c r="AD713" s="100"/>
      <c r="AE713" s="102"/>
    </row>
    <row r="714" spans="1:31" ht="17.100000000000001" customHeight="1" x14ac:dyDescent="0.25">
      <c r="A714" s="51"/>
      <c r="B714" s="66"/>
      <c r="C714" s="68"/>
      <c r="D714" s="69"/>
      <c r="E714" s="70"/>
      <c r="F714" s="68"/>
      <c r="G714" s="70"/>
      <c r="H714" s="59"/>
      <c r="I714" s="27"/>
      <c r="J714" s="63"/>
      <c r="K714" s="71"/>
      <c r="L714" s="18"/>
      <c r="M714" s="66"/>
      <c r="N714" s="46"/>
      <c r="O714" s="47"/>
      <c r="P714" s="40"/>
      <c r="Q714" s="47"/>
      <c r="R714" s="40"/>
      <c r="S714" s="41"/>
      <c r="T714" s="31">
        <f>(P715-P712)+(R712-R715)</f>
        <v>0</v>
      </c>
      <c r="U714" s="78"/>
      <c r="V714" s="81"/>
      <c r="W714" s="81"/>
      <c r="X714" s="81"/>
      <c r="Y714" s="84"/>
      <c r="Z714" s="87"/>
      <c r="AA714" s="49"/>
      <c r="AB714" s="49"/>
      <c r="AC714" s="98"/>
      <c r="AD714" s="104"/>
      <c r="AE714" s="102"/>
    </row>
    <row r="715" spans="1:31" ht="17.100000000000001" customHeight="1" x14ac:dyDescent="0.25">
      <c r="A715" s="51"/>
      <c r="B715" s="54"/>
      <c r="C715" s="68"/>
      <c r="D715" s="69"/>
      <c r="E715" s="70"/>
      <c r="F715" s="68"/>
      <c r="G715" s="70"/>
      <c r="H715" s="59"/>
      <c r="I715" s="23"/>
      <c r="J715" s="88"/>
      <c r="K715" s="65"/>
      <c r="L715" s="18"/>
      <c r="M715" s="54"/>
      <c r="N715" s="90">
        <f>(P712-N712)+(P715-P712)+(R712-R715)</f>
        <v>0</v>
      </c>
      <c r="O715" s="91"/>
      <c r="P715" s="90"/>
      <c r="Q715" s="91"/>
      <c r="R715" s="90"/>
      <c r="S715" s="94"/>
      <c r="T715" s="32"/>
      <c r="U715" s="78"/>
      <c r="V715" s="81"/>
      <c r="W715" s="81"/>
      <c r="X715" s="81"/>
      <c r="Y715" s="84"/>
      <c r="Z715" s="34"/>
      <c r="AA715" s="28"/>
      <c r="AB715" s="28"/>
      <c r="AC715" s="97"/>
      <c r="AD715" s="100"/>
      <c r="AE715" s="102"/>
    </row>
    <row r="716" spans="1:31" ht="17.100000000000001" customHeight="1" x14ac:dyDescent="0.25">
      <c r="A716" s="51"/>
      <c r="B716" s="66"/>
      <c r="C716" s="68"/>
      <c r="D716" s="69"/>
      <c r="E716" s="70"/>
      <c r="F716" s="68"/>
      <c r="G716" s="70"/>
      <c r="H716" s="59"/>
      <c r="I716" s="24"/>
      <c r="J716" s="62"/>
      <c r="K716" s="71" t="s">
        <v>51</v>
      </c>
      <c r="L716" s="16" t="s">
        <v>51</v>
      </c>
      <c r="M716" s="66" t="s">
        <v>51</v>
      </c>
      <c r="N716" s="38"/>
      <c r="O716" s="45"/>
      <c r="P716" s="38"/>
      <c r="Q716" s="45"/>
      <c r="R716" s="38"/>
      <c r="S716" s="39"/>
      <c r="T716" s="31">
        <f t="shared" ref="T716" si="221">R715-P715</f>
        <v>0</v>
      </c>
      <c r="U716" s="78"/>
      <c r="V716" s="81"/>
      <c r="W716" s="81"/>
      <c r="X716" s="81"/>
      <c r="Y716" s="84"/>
      <c r="Z716" s="34"/>
      <c r="AA716" s="29"/>
      <c r="AB716" s="29"/>
      <c r="AC716" s="97"/>
      <c r="AD716" s="104"/>
      <c r="AE716" s="102"/>
    </row>
    <row r="717" spans="1:31" ht="17.100000000000001" customHeight="1" thickBot="1" x14ac:dyDescent="0.3">
      <c r="A717" s="52"/>
      <c r="B717" s="67"/>
      <c r="C717" s="73"/>
      <c r="D717" s="74"/>
      <c r="E717" s="75"/>
      <c r="F717" s="73"/>
      <c r="G717" s="75"/>
      <c r="H717" s="60"/>
      <c r="I717" s="25"/>
      <c r="J717" s="89"/>
      <c r="K717" s="72"/>
      <c r="L717" s="19" t="s">
        <v>52</v>
      </c>
      <c r="M717" s="67"/>
      <c r="N717" s="92"/>
      <c r="O717" s="93"/>
      <c r="P717" s="92"/>
      <c r="Q717" s="93"/>
      <c r="R717" s="92"/>
      <c r="S717" s="95"/>
      <c r="T717" s="33"/>
      <c r="U717" s="79"/>
      <c r="V717" s="82"/>
      <c r="W717" s="82"/>
      <c r="X717" s="82"/>
      <c r="Y717" s="85"/>
      <c r="Z717" s="35"/>
      <c r="AA717" s="30"/>
      <c r="AB717" s="30"/>
      <c r="AC717" s="105"/>
      <c r="AD717" s="106"/>
      <c r="AE717" s="103"/>
    </row>
    <row r="718" spans="1:31" ht="17.100000000000001" customHeight="1" x14ac:dyDescent="0.25">
      <c r="A718" s="50">
        <v>46023</v>
      </c>
      <c r="B718" s="53"/>
      <c r="C718" s="55"/>
      <c r="D718" s="56"/>
      <c r="E718" s="57"/>
      <c r="F718" s="55"/>
      <c r="G718" s="57"/>
      <c r="H718" s="58"/>
      <c r="I718" s="26"/>
      <c r="J718" s="61"/>
      <c r="K718" s="64"/>
      <c r="L718" s="11"/>
      <c r="M718" s="53"/>
      <c r="N718" s="42"/>
      <c r="O718" s="43"/>
      <c r="P718" s="36"/>
      <c r="Q718" s="43"/>
      <c r="R718" s="36"/>
      <c r="S718" s="37"/>
      <c r="T718" s="76">
        <f t="shared" ref="T718" si="222">R718-P718</f>
        <v>0</v>
      </c>
      <c r="U718" s="77"/>
      <c r="V718" s="80"/>
      <c r="W718" s="80"/>
      <c r="X718" s="80"/>
      <c r="Y718" s="83"/>
      <c r="Z718" s="86"/>
      <c r="AA718" s="48"/>
      <c r="AB718" s="48"/>
      <c r="AC718" s="96"/>
      <c r="AD718" s="99"/>
      <c r="AE718" s="101"/>
    </row>
    <row r="719" spans="1:31" ht="17.100000000000001" customHeight="1" x14ac:dyDescent="0.25">
      <c r="A719" s="51"/>
      <c r="B719" s="54"/>
      <c r="C719" s="68"/>
      <c r="D719" s="69"/>
      <c r="E719" s="70"/>
      <c r="F719" s="68"/>
      <c r="G719" s="70"/>
      <c r="H719" s="59"/>
      <c r="I719" s="24"/>
      <c r="J719" s="62"/>
      <c r="K719" s="65"/>
      <c r="L719" s="17"/>
      <c r="M719" s="54"/>
      <c r="N719" s="44"/>
      <c r="O719" s="45"/>
      <c r="P719" s="38"/>
      <c r="Q719" s="45"/>
      <c r="R719" s="38"/>
      <c r="S719" s="39"/>
      <c r="T719" s="32"/>
      <c r="U719" s="78"/>
      <c r="V719" s="81"/>
      <c r="W719" s="81"/>
      <c r="X719" s="81"/>
      <c r="Y719" s="84"/>
      <c r="Z719" s="34"/>
      <c r="AA719" s="29"/>
      <c r="AB719" s="29"/>
      <c r="AC719" s="97"/>
      <c r="AD719" s="100"/>
      <c r="AE719" s="102"/>
    </row>
    <row r="720" spans="1:31" ht="17.100000000000001" customHeight="1" x14ac:dyDescent="0.25">
      <c r="A720" s="51"/>
      <c r="B720" s="66"/>
      <c r="C720" s="68"/>
      <c r="D720" s="69"/>
      <c r="E720" s="70"/>
      <c r="F720" s="68"/>
      <c r="G720" s="70"/>
      <c r="H720" s="59"/>
      <c r="I720" s="27"/>
      <c r="J720" s="63"/>
      <c r="K720" s="71"/>
      <c r="L720" s="18"/>
      <c r="M720" s="66"/>
      <c r="N720" s="46"/>
      <c r="O720" s="47"/>
      <c r="P720" s="40"/>
      <c r="Q720" s="47"/>
      <c r="R720" s="40"/>
      <c r="S720" s="41"/>
      <c r="T720" s="31">
        <f>(P721-P718)+(R718-R721)</f>
        <v>0</v>
      </c>
      <c r="U720" s="78"/>
      <c r="V720" s="81"/>
      <c r="W720" s="81"/>
      <c r="X720" s="81"/>
      <c r="Y720" s="84"/>
      <c r="Z720" s="87"/>
      <c r="AA720" s="49"/>
      <c r="AB720" s="49"/>
      <c r="AC720" s="98"/>
      <c r="AD720" s="104"/>
      <c r="AE720" s="102"/>
    </row>
    <row r="721" spans="1:31" ht="17.100000000000001" customHeight="1" x14ac:dyDescent="0.25">
      <c r="A721" s="51"/>
      <c r="B721" s="54"/>
      <c r="C721" s="68"/>
      <c r="D721" s="69"/>
      <c r="E721" s="70"/>
      <c r="F721" s="68"/>
      <c r="G721" s="70"/>
      <c r="H721" s="59"/>
      <c r="I721" s="23"/>
      <c r="J721" s="88"/>
      <c r="K721" s="65"/>
      <c r="L721" s="18"/>
      <c r="M721" s="54"/>
      <c r="N721" s="90">
        <f>(P718-N718)+(P721-P718)+(R718-R721)</f>
        <v>0</v>
      </c>
      <c r="O721" s="91"/>
      <c r="P721" s="90"/>
      <c r="Q721" s="91"/>
      <c r="R721" s="90"/>
      <c r="S721" s="94"/>
      <c r="T721" s="32"/>
      <c r="U721" s="78"/>
      <c r="V721" s="81"/>
      <c r="W721" s="81"/>
      <c r="X721" s="81"/>
      <c r="Y721" s="84"/>
      <c r="Z721" s="34"/>
      <c r="AA721" s="28"/>
      <c r="AB721" s="28"/>
      <c r="AC721" s="97"/>
      <c r="AD721" s="100"/>
      <c r="AE721" s="102"/>
    </row>
    <row r="722" spans="1:31" ht="17.100000000000001" customHeight="1" x14ac:dyDescent="0.25">
      <c r="A722" s="51"/>
      <c r="B722" s="66"/>
      <c r="C722" s="68"/>
      <c r="D722" s="69"/>
      <c r="E722" s="70"/>
      <c r="F722" s="68"/>
      <c r="G722" s="70"/>
      <c r="H722" s="59"/>
      <c r="I722" s="24"/>
      <c r="J722" s="62"/>
      <c r="K722" s="71" t="s">
        <v>51</v>
      </c>
      <c r="L722" s="16" t="s">
        <v>51</v>
      </c>
      <c r="M722" s="66" t="s">
        <v>51</v>
      </c>
      <c r="N722" s="38"/>
      <c r="O722" s="45"/>
      <c r="P722" s="38"/>
      <c r="Q722" s="45"/>
      <c r="R722" s="38"/>
      <c r="S722" s="39"/>
      <c r="T722" s="31">
        <f t="shared" ref="T722" si="223">R721-P721</f>
        <v>0</v>
      </c>
      <c r="U722" s="78"/>
      <c r="V722" s="81"/>
      <c r="W722" s="81"/>
      <c r="X722" s="81"/>
      <c r="Y722" s="84"/>
      <c r="Z722" s="34"/>
      <c r="AA722" s="29"/>
      <c r="AB722" s="29"/>
      <c r="AC722" s="97"/>
      <c r="AD722" s="104"/>
      <c r="AE722" s="102"/>
    </row>
    <row r="723" spans="1:31" ht="17.100000000000001" customHeight="1" thickBot="1" x14ac:dyDescent="0.3">
      <c r="A723" s="52"/>
      <c r="B723" s="67"/>
      <c r="C723" s="73"/>
      <c r="D723" s="74"/>
      <c r="E723" s="75"/>
      <c r="F723" s="73"/>
      <c r="G723" s="75"/>
      <c r="H723" s="60"/>
      <c r="I723" s="25"/>
      <c r="J723" s="89"/>
      <c r="K723" s="72"/>
      <c r="L723" s="19" t="s">
        <v>52</v>
      </c>
      <c r="M723" s="67"/>
      <c r="N723" s="92"/>
      <c r="O723" s="93"/>
      <c r="P723" s="92"/>
      <c r="Q723" s="93"/>
      <c r="R723" s="92"/>
      <c r="S723" s="95"/>
      <c r="T723" s="33"/>
      <c r="U723" s="79"/>
      <c r="V723" s="82"/>
      <c r="W723" s="82"/>
      <c r="X723" s="82"/>
      <c r="Y723" s="85"/>
      <c r="Z723" s="35"/>
      <c r="AA723" s="30"/>
      <c r="AB723" s="30"/>
      <c r="AC723" s="105"/>
      <c r="AD723" s="106"/>
      <c r="AE723" s="103"/>
    </row>
    <row r="724" spans="1:31" ht="17.100000000000001" customHeight="1" x14ac:dyDescent="0.25">
      <c r="A724" s="50">
        <v>46023</v>
      </c>
      <c r="B724" s="53"/>
      <c r="C724" s="55"/>
      <c r="D724" s="56"/>
      <c r="E724" s="57"/>
      <c r="F724" s="55"/>
      <c r="G724" s="57"/>
      <c r="H724" s="58"/>
      <c r="I724" s="26"/>
      <c r="J724" s="61"/>
      <c r="K724" s="64"/>
      <c r="L724" s="11"/>
      <c r="M724" s="53"/>
      <c r="N724" s="42"/>
      <c r="O724" s="43"/>
      <c r="P724" s="36"/>
      <c r="Q724" s="43"/>
      <c r="R724" s="36"/>
      <c r="S724" s="37"/>
      <c r="T724" s="76">
        <f t="shared" ref="T724" si="224">R724-P724</f>
        <v>0</v>
      </c>
      <c r="U724" s="77"/>
      <c r="V724" s="80"/>
      <c r="W724" s="80"/>
      <c r="X724" s="80"/>
      <c r="Y724" s="83"/>
      <c r="Z724" s="86"/>
      <c r="AA724" s="48"/>
      <c r="AB724" s="48"/>
      <c r="AC724" s="96"/>
      <c r="AD724" s="99"/>
      <c r="AE724" s="101"/>
    </row>
    <row r="725" spans="1:31" ht="17.100000000000001" customHeight="1" x14ac:dyDescent="0.25">
      <c r="A725" s="51"/>
      <c r="B725" s="54"/>
      <c r="C725" s="68"/>
      <c r="D725" s="69"/>
      <c r="E725" s="70"/>
      <c r="F725" s="68"/>
      <c r="G725" s="70"/>
      <c r="H725" s="59"/>
      <c r="I725" s="24"/>
      <c r="J725" s="62"/>
      <c r="K725" s="65"/>
      <c r="L725" s="17"/>
      <c r="M725" s="54"/>
      <c r="N725" s="44"/>
      <c r="O725" s="45"/>
      <c r="P725" s="38"/>
      <c r="Q725" s="45"/>
      <c r="R725" s="38"/>
      <c r="S725" s="39"/>
      <c r="T725" s="32"/>
      <c r="U725" s="78"/>
      <c r="V725" s="81"/>
      <c r="W725" s="81"/>
      <c r="X725" s="81"/>
      <c r="Y725" s="84"/>
      <c r="Z725" s="34"/>
      <c r="AA725" s="29"/>
      <c r="AB725" s="29"/>
      <c r="AC725" s="97"/>
      <c r="AD725" s="100"/>
      <c r="AE725" s="102"/>
    </row>
    <row r="726" spans="1:31" ht="17.100000000000001" customHeight="1" x14ac:dyDescent="0.25">
      <c r="A726" s="51"/>
      <c r="B726" s="66"/>
      <c r="C726" s="68"/>
      <c r="D726" s="69"/>
      <c r="E726" s="70"/>
      <c r="F726" s="68"/>
      <c r="G726" s="70"/>
      <c r="H726" s="59"/>
      <c r="I726" s="27"/>
      <c r="J726" s="63"/>
      <c r="K726" s="71"/>
      <c r="L726" s="18"/>
      <c r="M726" s="66"/>
      <c r="N726" s="46"/>
      <c r="O726" s="47"/>
      <c r="P726" s="40"/>
      <c r="Q726" s="47"/>
      <c r="R726" s="40"/>
      <c r="S726" s="41"/>
      <c r="T726" s="31">
        <f>(P727-P724)+(R724-R727)</f>
        <v>0</v>
      </c>
      <c r="U726" s="78"/>
      <c r="V726" s="81"/>
      <c r="W726" s="81"/>
      <c r="X726" s="81"/>
      <c r="Y726" s="84"/>
      <c r="Z726" s="87"/>
      <c r="AA726" s="49"/>
      <c r="AB726" s="49"/>
      <c r="AC726" s="98"/>
      <c r="AD726" s="104"/>
      <c r="AE726" s="102"/>
    </row>
    <row r="727" spans="1:31" ht="17.100000000000001" customHeight="1" x14ac:dyDescent="0.25">
      <c r="A727" s="51"/>
      <c r="B727" s="54"/>
      <c r="C727" s="68"/>
      <c r="D727" s="69"/>
      <c r="E727" s="70"/>
      <c r="F727" s="68"/>
      <c r="G727" s="70"/>
      <c r="H727" s="59"/>
      <c r="I727" s="23"/>
      <c r="J727" s="88"/>
      <c r="K727" s="65"/>
      <c r="L727" s="18"/>
      <c r="M727" s="54"/>
      <c r="N727" s="90">
        <f>(P724-N724)+(P727-P724)+(R724-R727)</f>
        <v>0</v>
      </c>
      <c r="O727" s="91"/>
      <c r="P727" s="90"/>
      <c r="Q727" s="91"/>
      <c r="R727" s="90"/>
      <c r="S727" s="94"/>
      <c r="T727" s="32"/>
      <c r="U727" s="78"/>
      <c r="V727" s="81"/>
      <c r="W727" s="81"/>
      <c r="X727" s="81"/>
      <c r="Y727" s="84"/>
      <c r="Z727" s="34"/>
      <c r="AA727" s="28"/>
      <c r="AB727" s="28"/>
      <c r="AC727" s="97"/>
      <c r="AD727" s="100"/>
      <c r="AE727" s="102"/>
    </row>
    <row r="728" spans="1:31" ht="17.100000000000001" customHeight="1" x14ac:dyDescent="0.25">
      <c r="A728" s="51"/>
      <c r="B728" s="66"/>
      <c r="C728" s="68"/>
      <c r="D728" s="69"/>
      <c r="E728" s="70"/>
      <c r="F728" s="68"/>
      <c r="G728" s="70"/>
      <c r="H728" s="59"/>
      <c r="I728" s="24"/>
      <c r="J728" s="62"/>
      <c r="K728" s="71" t="s">
        <v>51</v>
      </c>
      <c r="L728" s="16" t="s">
        <v>51</v>
      </c>
      <c r="M728" s="66" t="s">
        <v>51</v>
      </c>
      <c r="N728" s="38"/>
      <c r="O728" s="45"/>
      <c r="P728" s="38"/>
      <c r="Q728" s="45"/>
      <c r="R728" s="38"/>
      <c r="S728" s="39"/>
      <c r="T728" s="31">
        <f t="shared" ref="T728" si="225">R727-P727</f>
        <v>0</v>
      </c>
      <c r="U728" s="78"/>
      <c r="V728" s="81"/>
      <c r="W728" s="81"/>
      <c r="X728" s="81"/>
      <c r="Y728" s="84"/>
      <c r="Z728" s="34"/>
      <c r="AA728" s="29"/>
      <c r="AB728" s="29"/>
      <c r="AC728" s="97"/>
      <c r="AD728" s="104"/>
      <c r="AE728" s="102"/>
    </row>
    <row r="729" spans="1:31" ht="17.100000000000001" customHeight="1" thickBot="1" x14ac:dyDescent="0.3">
      <c r="A729" s="52"/>
      <c r="B729" s="67"/>
      <c r="C729" s="73"/>
      <c r="D729" s="74"/>
      <c r="E729" s="75"/>
      <c r="F729" s="73"/>
      <c r="G729" s="75"/>
      <c r="H729" s="60"/>
      <c r="I729" s="25"/>
      <c r="J729" s="89"/>
      <c r="K729" s="72"/>
      <c r="L729" s="19" t="s">
        <v>52</v>
      </c>
      <c r="M729" s="67"/>
      <c r="N729" s="92"/>
      <c r="O729" s="93"/>
      <c r="P729" s="92"/>
      <c r="Q729" s="93"/>
      <c r="R729" s="92"/>
      <c r="S729" s="95"/>
      <c r="T729" s="33"/>
      <c r="U729" s="79"/>
      <c r="V729" s="82"/>
      <c r="W729" s="82"/>
      <c r="X729" s="82"/>
      <c r="Y729" s="85"/>
      <c r="Z729" s="35"/>
      <c r="AA729" s="30"/>
      <c r="AB729" s="30"/>
      <c r="AC729" s="105"/>
      <c r="AD729" s="106"/>
      <c r="AE729" s="103"/>
    </row>
    <row r="730" spans="1:31" ht="17.100000000000001" customHeight="1" x14ac:dyDescent="0.25">
      <c r="A730" s="50">
        <v>46023</v>
      </c>
      <c r="B730" s="53"/>
      <c r="C730" s="55"/>
      <c r="D730" s="56"/>
      <c r="E730" s="57"/>
      <c r="F730" s="55"/>
      <c r="G730" s="57"/>
      <c r="H730" s="58"/>
      <c r="I730" s="26"/>
      <c r="J730" s="61"/>
      <c r="K730" s="64"/>
      <c r="L730" s="11"/>
      <c r="M730" s="53"/>
      <c r="N730" s="42"/>
      <c r="O730" s="43"/>
      <c r="P730" s="36"/>
      <c r="Q730" s="43"/>
      <c r="R730" s="36"/>
      <c r="S730" s="37"/>
      <c r="T730" s="76">
        <f t="shared" ref="T730" si="226">R730-P730</f>
        <v>0</v>
      </c>
      <c r="U730" s="77"/>
      <c r="V730" s="80"/>
      <c r="W730" s="80"/>
      <c r="X730" s="80"/>
      <c r="Y730" s="83"/>
      <c r="Z730" s="86"/>
      <c r="AA730" s="48"/>
      <c r="AB730" s="48"/>
      <c r="AC730" s="96"/>
      <c r="AD730" s="99"/>
      <c r="AE730" s="101"/>
    </row>
    <row r="731" spans="1:31" ht="17.100000000000001" customHeight="1" x14ac:dyDescent="0.25">
      <c r="A731" s="51"/>
      <c r="B731" s="54"/>
      <c r="C731" s="68"/>
      <c r="D731" s="69"/>
      <c r="E731" s="70"/>
      <c r="F731" s="68"/>
      <c r="G731" s="70"/>
      <c r="H731" s="59"/>
      <c r="I731" s="24"/>
      <c r="J731" s="62"/>
      <c r="K731" s="65"/>
      <c r="L731" s="17"/>
      <c r="M731" s="54"/>
      <c r="N731" s="44"/>
      <c r="O731" s="45"/>
      <c r="P731" s="38"/>
      <c r="Q731" s="45"/>
      <c r="R731" s="38"/>
      <c r="S731" s="39"/>
      <c r="T731" s="32"/>
      <c r="U731" s="78"/>
      <c r="V731" s="81"/>
      <c r="W731" s="81"/>
      <c r="X731" s="81"/>
      <c r="Y731" s="84"/>
      <c r="Z731" s="34"/>
      <c r="AA731" s="29"/>
      <c r="AB731" s="29"/>
      <c r="AC731" s="97"/>
      <c r="AD731" s="100"/>
      <c r="AE731" s="102"/>
    </row>
    <row r="732" spans="1:31" ht="17.100000000000001" customHeight="1" x14ac:dyDescent="0.25">
      <c r="A732" s="51"/>
      <c r="B732" s="66"/>
      <c r="C732" s="68"/>
      <c r="D732" s="69"/>
      <c r="E732" s="70"/>
      <c r="F732" s="68"/>
      <c r="G732" s="70"/>
      <c r="H732" s="59"/>
      <c r="I732" s="27"/>
      <c r="J732" s="63"/>
      <c r="K732" s="71"/>
      <c r="L732" s="18"/>
      <c r="M732" s="66"/>
      <c r="N732" s="46"/>
      <c r="O732" s="47"/>
      <c r="P732" s="40"/>
      <c r="Q732" s="47"/>
      <c r="R732" s="40"/>
      <c r="S732" s="41"/>
      <c r="T732" s="31">
        <f>(P733-P730)+(R730-R733)</f>
        <v>0</v>
      </c>
      <c r="U732" s="78"/>
      <c r="V732" s="81"/>
      <c r="W732" s="81"/>
      <c r="X732" s="81"/>
      <c r="Y732" s="84"/>
      <c r="Z732" s="87"/>
      <c r="AA732" s="49"/>
      <c r="AB732" s="49"/>
      <c r="AC732" s="98"/>
      <c r="AD732" s="104"/>
      <c r="AE732" s="102"/>
    </row>
    <row r="733" spans="1:31" ht="17.100000000000001" customHeight="1" x14ac:dyDescent="0.25">
      <c r="A733" s="51"/>
      <c r="B733" s="54"/>
      <c r="C733" s="68"/>
      <c r="D733" s="69"/>
      <c r="E733" s="70"/>
      <c r="F733" s="68"/>
      <c r="G733" s="70"/>
      <c r="H733" s="59"/>
      <c r="I733" s="23"/>
      <c r="J733" s="88"/>
      <c r="K733" s="65"/>
      <c r="L733" s="18"/>
      <c r="M733" s="54"/>
      <c r="N733" s="90">
        <f>(P730-N730)+(P733-P730)+(R730-R733)</f>
        <v>0</v>
      </c>
      <c r="O733" s="91"/>
      <c r="P733" s="90"/>
      <c r="Q733" s="91"/>
      <c r="R733" s="90"/>
      <c r="S733" s="94"/>
      <c r="T733" s="32"/>
      <c r="U733" s="78"/>
      <c r="V733" s="81"/>
      <c r="W733" s="81"/>
      <c r="X733" s="81"/>
      <c r="Y733" s="84"/>
      <c r="Z733" s="34"/>
      <c r="AA733" s="28"/>
      <c r="AB733" s="28"/>
      <c r="AC733" s="97"/>
      <c r="AD733" s="100"/>
      <c r="AE733" s="102"/>
    </row>
    <row r="734" spans="1:31" ht="17.100000000000001" customHeight="1" x14ac:dyDescent="0.25">
      <c r="A734" s="51"/>
      <c r="B734" s="66"/>
      <c r="C734" s="68"/>
      <c r="D734" s="69"/>
      <c r="E734" s="70"/>
      <c r="F734" s="68"/>
      <c r="G734" s="70"/>
      <c r="H734" s="59"/>
      <c r="I734" s="24"/>
      <c r="J734" s="62"/>
      <c r="K734" s="71" t="s">
        <v>51</v>
      </c>
      <c r="L734" s="16" t="s">
        <v>51</v>
      </c>
      <c r="M734" s="66" t="s">
        <v>51</v>
      </c>
      <c r="N734" s="38"/>
      <c r="O734" s="45"/>
      <c r="P734" s="38"/>
      <c r="Q734" s="45"/>
      <c r="R734" s="38"/>
      <c r="S734" s="39"/>
      <c r="T734" s="31">
        <f t="shared" ref="T734" si="227">R733-P733</f>
        <v>0</v>
      </c>
      <c r="U734" s="78"/>
      <c r="V734" s="81"/>
      <c r="W734" s="81"/>
      <c r="X734" s="81"/>
      <c r="Y734" s="84"/>
      <c r="Z734" s="34"/>
      <c r="AA734" s="29"/>
      <c r="AB734" s="29"/>
      <c r="AC734" s="97"/>
      <c r="AD734" s="104"/>
      <c r="AE734" s="102"/>
    </row>
    <row r="735" spans="1:31" ht="17.100000000000001" customHeight="1" thickBot="1" x14ac:dyDescent="0.3">
      <c r="A735" s="52"/>
      <c r="B735" s="67"/>
      <c r="C735" s="73"/>
      <c r="D735" s="74"/>
      <c r="E735" s="75"/>
      <c r="F735" s="73"/>
      <c r="G735" s="75"/>
      <c r="H735" s="60"/>
      <c r="I735" s="25"/>
      <c r="J735" s="89"/>
      <c r="K735" s="72"/>
      <c r="L735" s="19" t="s">
        <v>52</v>
      </c>
      <c r="M735" s="67"/>
      <c r="N735" s="92"/>
      <c r="O735" s="93"/>
      <c r="P735" s="92"/>
      <c r="Q735" s="93"/>
      <c r="R735" s="92"/>
      <c r="S735" s="95"/>
      <c r="T735" s="33"/>
      <c r="U735" s="79"/>
      <c r="V735" s="82"/>
      <c r="W735" s="82"/>
      <c r="X735" s="82"/>
      <c r="Y735" s="85"/>
      <c r="Z735" s="35"/>
      <c r="AA735" s="30"/>
      <c r="AB735" s="30"/>
      <c r="AC735" s="105"/>
      <c r="AD735" s="106"/>
      <c r="AE735" s="103"/>
    </row>
    <row r="737" spans="1:31" ht="17.100000000000001" customHeight="1" thickBot="1" x14ac:dyDescent="0.3"/>
    <row r="738" spans="1:31" ht="17.100000000000001" customHeight="1" x14ac:dyDescent="0.25">
      <c r="A738" s="50">
        <v>46023</v>
      </c>
      <c r="B738" s="53"/>
      <c r="C738" s="55"/>
      <c r="D738" s="56"/>
      <c r="E738" s="57"/>
      <c r="F738" s="55"/>
      <c r="G738" s="57"/>
      <c r="H738" s="58"/>
      <c r="I738" s="26"/>
      <c r="J738" s="61"/>
      <c r="K738" s="64"/>
      <c r="L738" s="11"/>
      <c r="M738" s="53"/>
      <c r="N738" s="42"/>
      <c r="O738" s="43"/>
      <c r="P738" s="36"/>
      <c r="Q738" s="43"/>
      <c r="R738" s="36"/>
      <c r="S738" s="37"/>
      <c r="T738" s="76">
        <f t="shared" ref="T738" si="228">R738-P738</f>
        <v>0</v>
      </c>
      <c r="U738" s="77"/>
      <c r="V738" s="80"/>
      <c r="W738" s="80"/>
      <c r="X738" s="80"/>
      <c r="Y738" s="83"/>
      <c r="Z738" s="86"/>
      <c r="AA738" s="48"/>
      <c r="AB738" s="48"/>
      <c r="AC738" s="96"/>
      <c r="AD738" s="99"/>
      <c r="AE738" s="101"/>
    </row>
    <row r="739" spans="1:31" ht="17.100000000000001" customHeight="1" x14ac:dyDescent="0.25">
      <c r="A739" s="51"/>
      <c r="B739" s="54"/>
      <c r="C739" s="68"/>
      <c r="D739" s="69"/>
      <c r="E739" s="70"/>
      <c r="F739" s="68"/>
      <c r="G739" s="70"/>
      <c r="H739" s="59"/>
      <c r="I739" s="24"/>
      <c r="J739" s="62"/>
      <c r="K739" s="65"/>
      <c r="L739" s="17"/>
      <c r="M739" s="54"/>
      <c r="N739" s="44"/>
      <c r="O739" s="45"/>
      <c r="P739" s="38"/>
      <c r="Q739" s="45"/>
      <c r="R739" s="38"/>
      <c r="S739" s="39"/>
      <c r="T739" s="32"/>
      <c r="U739" s="78"/>
      <c r="V739" s="81"/>
      <c r="W739" s="81"/>
      <c r="X739" s="81"/>
      <c r="Y739" s="84"/>
      <c r="Z739" s="34"/>
      <c r="AA739" s="29"/>
      <c r="AB739" s="29"/>
      <c r="AC739" s="97"/>
      <c r="AD739" s="100"/>
      <c r="AE739" s="102"/>
    </row>
    <row r="740" spans="1:31" ht="17.100000000000001" customHeight="1" x14ac:dyDescent="0.25">
      <c r="A740" s="51"/>
      <c r="B740" s="66"/>
      <c r="C740" s="68"/>
      <c r="D740" s="69"/>
      <c r="E740" s="70"/>
      <c r="F740" s="68"/>
      <c r="G740" s="70"/>
      <c r="H740" s="59"/>
      <c r="I740" s="27"/>
      <c r="J740" s="63"/>
      <c r="K740" s="71"/>
      <c r="L740" s="18"/>
      <c r="M740" s="66"/>
      <c r="N740" s="46"/>
      <c r="O740" s="47"/>
      <c r="P740" s="40"/>
      <c r="Q740" s="47"/>
      <c r="R740" s="40"/>
      <c r="S740" s="41"/>
      <c r="T740" s="31">
        <f>(P741-P738)+(R738-R741)</f>
        <v>0</v>
      </c>
      <c r="U740" s="78"/>
      <c r="V740" s="81"/>
      <c r="W740" s="81"/>
      <c r="X740" s="81"/>
      <c r="Y740" s="84"/>
      <c r="Z740" s="87"/>
      <c r="AA740" s="49"/>
      <c r="AB740" s="49"/>
      <c r="AC740" s="98"/>
      <c r="AD740" s="104"/>
      <c r="AE740" s="102"/>
    </row>
    <row r="741" spans="1:31" ht="17.100000000000001" customHeight="1" x14ac:dyDescent="0.25">
      <c r="A741" s="51"/>
      <c r="B741" s="54"/>
      <c r="C741" s="68"/>
      <c r="D741" s="69"/>
      <c r="E741" s="70"/>
      <c r="F741" s="68"/>
      <c r="G741" s="70"/>
      <c r="H741" s="59"/>
      <c r="I741" s="23"/>
      <c r="J741" s="88"/>
      <c r="K741" s="65"/>
      <c r="L741" s="18"/>
      <c r="M741" s="54"/>
      <c r="N741" s="90">
        <f>(P738-N738)+(P741-P738)+(R738-R741)</f>
        <v>0</v>
      </c>
      <c r="O741" s="91"/>
      <c r="P741" s="90"/>
      <c r="Q741" s="91"/>
      <c r="R741" s="90"/>
      <c r="S741" s="94"/>
      <c r="T741" s="32"/>
      <c r="U741" s="78"/>
      <c r="V741" s="81"/>
      <c r="W741" s="81"/>
      <c r="X741" s="81"/>
      <c r="Y741" s="84"/>
      <c r="Z741" s="34"/>
      <c r="AA741" s="28"/>
      <c r="AB741" s="28"/>
      <c r="AC741" s="97"/>
      <c r="AD741" s="100"/>
      <c r="AE741" s="102"/>
    </row>
    <row r="742" spans="1:31" ht="17.100000000000001" customHeight="1" x14ac:dyDescent="0.25">
      <c r="A742" s="51"/>
      <c r="B742" s="66"/>
      <c r="C742" s="68"/>
      <c r="D742" s="69"/>
      <c r="E742" s="70"/>
      <c r="F742" s="68"/>
      <c r="G742" s="70"/>
      <c r="H742" s="59"/>
      <c r="I742" s="24"/>
      <c r="J742" s="62"/>
      <c r="K742" s="71" t="s">
        <v>51</v>
      </c>
      <c r="L742" s="16" t="s">
        <v>51</v>
      </c>
      <c r="M742" s="66" t="s">
        <v>51</v>
      </c>
      <c r="N742" s="38"/>
      <c r="O742" s="45"/>
      <c r="P742" s="38"/>
      <c r="Q742" s="45"/>
      <c r="R742" s="38"/>
      <c r="S742" s="39"/>
      <c r="T742" s="31">
        <f t="shared" ref="T742" si="229">R741-P741</f>
        <v>0</v>
      </c>
      <c r="U742" s="78"/>
      <c r="V742" s="81"/>
      <c r="W742" s="81"/>
      <c r="X742" s="81"/>
      <c r="Y742" s="84"/>
      <c r="Z742" s="34"/>
      <c r="AA742" s="29"/>
      <c r="AB742" s="29"/>
      <c r="AC742" s="97"/>
      <c r="AD742" s="104"/>
      <c r="AE742" s="102"/>
    </row>
    <row r="743" spans="1:31" ht="17.100000000000001" customHeight="1" thickBot="1" x14ac:dyDescent="0.3">
      <c r="A743" s="52"/>
      <c r="B743" s="67"/>
      <c r="C743" s="73"/>
      <c r="D743" s="74"/>
      <c r="E743" s="75"/>
      <c r="F743" s="73"/>
      <c r="G743" s="75"/>
      <c r="H743" s="60"/>
      <c r="I743" s="25"/>
      <c r="J743" s="89"/>
      <c r="K743" s="72"/>
      <c r="L743" s="19" t="s">
        <v>52</v>
      </c>
      <c r="M743" s="67"/>
      <c r="N743" s="92"/>
      <c r="O743" s="93"/>
      <c r="P743" s="92"/>
      <c r="Q743" s="93"/>
      <c r="R743" s="92"/>
      <c r="S743" s="95"/>
      <c r="T743" s="33"/>
      <c r="U743" s="79"/>
      <c r="V743" s="82"/>
      <c r="W743" s="82"/>
      <c r="X743" s="82"/>
      <c r="Y743" s="85"/>
      <c r="Z743" s="35"/>
      <c r="AA743" s="30"/>
      <c r="AB743" s="30"/>
      <c r="AC743" s="105"/>
      <c r="AD743" s="106"/>
      <c r="AE743" s="103"/>
    </row>
    <row r="744" spans="1:31" ht="17.100000000000001" customHeight="1" x14ac:dyDescent="0.25">
      <c r="A744" s="50">
        <v>46023</v>
      </c>
      <c r="B744" s="53"/>
      <c r="C744" s="55"/>
      <c r="D744" s="56"/>
      <c r="E744" s="57"/>
      <c r="F744" s="55"/>
      <c r="G744" s="57"/>
      <c r="H744" s="58"/>
      <c r="I744" s="26"/>
      <c r="J744" s="61"/>
      <c r="K744" s="64"/>
      <c r="L744" s="11"/>
      <c r="M744" s="53"/>
      <c r="N744" s="42"/>
      <c r="O744" s="43"/>
      <c r="P744" s="36"/>
      <c r="Q744" s="43"/>
      <c r="R744" s="36"/>
      <c r="S744" s="37"/>
      <c r="T744" s="76">
        <f t="shared" ref="T744" si="230">R744-P744</f>
        <v>0</v>
      </c>
      <c r="U744" s="77"/>
      <c r="V744" s="80"/>
      <c r="W744" s="80"/>
      <c r="X744" s="80"/>
      <c r="Y744" s="83"/>
      <c r="Z744" s="86"/>
      <c r="AA744" s="48"/>
      <c r="AB744" s="48"/>
      <c r="AC744" s="96"/>
      <c r="AD744" s="99"/>
      <c r="AE744" s="101"/>
    </row>
    <row r="745" spans="1:31" ht="17.100000000000001" customHeight="1" x14ac:dyDescent="0.25">
      <c r="A745" s="51"/>
      <c r="B745" s="54"/>
      <c r="C745" s="68"/>
      <c r="D745" s="69"/>
      <c r="E745" s="70"/>
      <c r="F745" s="68"/>
      <c r="G745" s="70"/>
      <c r="H745" s="59"/>
      <c r="I745" s="24"/>
      <c r="J745" s="62"/>
      <c r="K745" s="65"/>
      <c r="L745" s="17"/>
      <c r="M745" s="54"/>
      <c r="N745" s="44"/>
      <c r="O745" s="45"/>
      <c r="P745" s="38"/>
      <c r="Q745" s="45"/>
      <c r="R745" s="38"/>
      <c r="S745" s="39"/>
      <c r="T745" s="32"/>
      <c r="U745" s="78"/>
      <c r="V745" s="81"/>
      <c r="W745" s="81"/>
      <c r="X745" s="81"/>
      <c r="Y745" s="84"/>
      <c r="Z745" s="34"/>
      <c r="AA745" s="29"/>
      <c r="AB745" s="29"/>
      <c r="AC745" s="97"/>
      <c r="AD745" s="100"/>
      <c r="AE745" s="102"/>
    </row>
    <row r="746" spans="1:31" ht="17.100000000000001" customHeight="1" x14ac:dyDescent="0.25">
      <c r="A746" s="51"/>
      <c r="B746" s="66"/>
      <c r="C746" s="68"/>
      <c r="D746" s="69"/>
      <c r="E746" s="70"/>
      <c r="F746" s="68"/>
      <c r="G746" s="70"/>
      <c r="H746" s="59"/>
      <c r="I746" s="27"/>
      <c r="J746" s="63"/>
      <c r="K746" s="71"/>
      <c r="L746" s="18"/>
      <c r="M746" s="66"/>
      <c r="N746" s="46"/>
      <c r="O746" s="47"/>
      <c r="P746" s="40"/>
      <c r="Q746" s="47"/>
      <c r="R746" s="40"/>
      <c r="S746" s="41"/>
      <c r="T746" s="31">
        <f>(P747-P744)+(R744-R747)</f>
        <v>0</v>
      </c>
      <c r="U746" s="78"/>
      <c r="V746" s="81"/>
      <c r="W746" s="81"/>
      <c r="X746" s="81"/>
      <c r="Y746" s="84"/>
      <c r="Z746" s="87"/>
      <c r="AA746" s="49"/>
      <c r="AB746" s="49"/>
      <c r="AC746" s="98"/>
      <c r="AD746" s="104"/>
      <c r="AE746" s="102"/>
    </row>
    <row r="747" spans="1:31" ht="17.100000000000001" customHeight="1" x14ac:dyDescent="0.25">
      <c r="A747" s="51"/>
      <c r="B747" s="54"/>
      <c r="C747" s="68"/>
      <c r="D747" s="69"/>
      <c r="E747" s="70"/>
      <c r="F747" s="68"/>
      <c r="G747" s="70"/>
      <c r="H747" s="59"/>
      <c r="I747" s="23"/>
      <c r="J747" s="88"/>
      <c r="K747" s="65"/>
      <c r="L747" s="18"/>
      <c r="M747" s="54"/>
      <c r="N747" s="90">
        <f>(P744-N744)+(P747-P744)+(R744-R747)</f>
        <v>0</v>
      </c>
      <c r="O747" s="91"/>
      <c r="P747" s="90"/>
      <c r="Q747" s="91"/>
      <c r="R747" s="90"/>
      <c r="S747" s="94"/>
      <c r="T747" s="32"/>
      <c r="U747" s="78"/>
      <c r="V747" s="81"/>
      <c r="W747" s="81"/>
      <c r="X747" s="81"/>
      <c r="Y747" s="84"/>
      <c r="Z747" s="34"/>
      <c r="AA747" s="28"/>
      <c r="AB747" s="28"/>
      <c r="AC747" s="97"/>
      <c r="AD747" s="100"/>
      <c r="AE747" s="102"/>
    </row>
    <row r="748" spans="1:31" ht="17.100000000000001" customHeight="1" x14ac:dyDescent="0.25">
      <c r="A748" s="51"/>
      <c r="B748" s="66"/>
      <c r="C748" s="68"/>
      <c r="D748" s="69"/>
      <c r="E748" s="70"/>
      <c r="F748" s="68"/>
      <c r="G748" s="70"/>
      <c r="H748" s="59"/>
      <c r="I748" s="24"/>
      <c r="J748" s="62"/>
      <c r="K748" s="71" t="s">
        <v>51</v>
      </c>
      <c r="L748" s="16" t="s">
        <v>51</v>
      </c>
      <c r="M748" s="66" t="s">
        <v>51</v>
      </c>
      <c r="N748" s="38"/>
      <c r="O748" s="45"/>
      <c r="P748" s="38"/>
      <c r="Q748" s="45"/>
      <c r="R748" s="38"/>
      <c r="S748" s="39"/>
      <c r="T748" s="31">
        <f t="shared" ref="T748" si="231">R747-P747</f>
        <v>0</v>
      </c>
      <c r="U748" s="78"/>
      <c r="V748" s="81"/>
      <c r="W748" s="81"/>
      <c r="X748" s="81"/>
      <c r="Y748" s="84"/>
      <c r="Z748" s="34"/>
      <c r="AA748" s="29"/>
      <c r="AB748" s="29"/>
      <c r="AC748" s="97"/>
      <c r="AD748" s="104"/>
      <c r="AE748" s="102"/>
    </row>
    <row r="749" spans="1:31" ht="17.100000000000001" customHeight="1" thickBot="1" x14ac:dyDescent="0.3">
      <c r="A749" s="52"/>
      <c r="B749" s="67"/>
      <c r="C749" s="73"/>
      <c r="D749" s="74"/>
      <c r="E749" s="75"/>
      <c r="F749" s="73"/>
      <c r="G749" s="75"/>
      <c r="H749" s="60"/>
      <c r="I749" s="25"/>
      <c r="J749" s="89"/>
      <c r="K749" s="72"/>
      <c r="L749" s="19" t="s">
        <v>52</v>
      </c>
      <c r="M749" s="67"/>
      <c r="N749" s="92"/>
      <c r="O749" s="93"/>
      <c r="P749" s="92"/>
      <c r="Q749" s="93"/>
      <c r="R749" s="92"/>
      <c r="S749" s="95"/>
      <c r="T749" s="33"/>
      <c r="U749" s="79"/>
      <c r="V749" s="82"/>
      <c r="W749" s="82"/>
      <c r="X749" s="82"/>
      <c r="Y749" s="85"/>
      <c r="Z749" s="35"/>
      <c r="AA749" s="30"/>
      <c r="AB749" s="30"/>
      <c r="AC749" s="105"/>
      <c r="AD749" s="106"/>
      <c r="AE749" s="103"/>
    </row>
    <row r="750" spans="1:31" ht="17.100000000000001" customHeight="1" x14ac:dyDescent="0.25">
      <c r="A750" s="50">
        <v>46023</v>
      </c>
      <c r="B750" s="53"/>
      <c r="C750" s="55"/>
      <c r="D750" s="56"/>
      <c r="E750" s="57"/>
      <c r="F750" s="55"/>
      <c r="G750" s="57"/>
      <c r="H750" s="58"/>
      <c r="I750" s="26"/>
      <c r="J750" s="61"/>
      <c r="K750" s="64"/>
      <c r="L750" s="11"/>
      <c r="M750" s="53"/>
      <c r="N750" s="42"/>
      <c r="O750" s="43"/>
      <c r="P750" s="36"/>
      <c r="Q750" s="43"/>
      <c r="R750" s="36"/>
      <c r="S750" s="37"/>
      <c r="T750" s="76">
        <f t="shared" ref="T750" si="232">R750-P750</f>
        <v>0</v>
      </c>
      <c r="U750" s="77"/>
      <c r="V750" s="80"/>
      <c r="W750" s="80"/>
      <c r="X750" s="80"/>
      <c r="Y750" s="83"/>
      <c r="Z750" s="86"/>
      <c r="AA750" s="48"/>
      <c r="AB750" s="48"/>
      <c r="AC750" s="96"/>
      <c r="AD750" s="99"/>
      <c r="AE750" s="101"/>
    </row>
    <row r="751" spans="1:31" ht="17.100000000000001" customHeight="1" x14ac:dyDescent="0.25">
      <c r="A751" s="51"/>
      <c r="B751" s="54"/>
      <c r="C751" s="68"/>
      <c r="D751" s="69"/>
      <c r="E751" s="70"/>
      <c r="F751" s="68"/>
      <c r="G751" s="70"/>
      <c r="H751" s="59"/>
      <c r="I751" s="24"/>
      <c r="J751" s="62"/>
      <c r="K751" s="65"/>
      <c r="L751" s="17"/>
      <c r="M751" s="54"/>
      <c r="N751" s="44"/>
      <c r="O751" s="45"/>
      <c r="P751" s="38"/>
      <c r="Q751" s="45"/>
      <c r="R751" s="38"/>
      <c r="S751" s="39"/>
      <c r="T751" s="32"/>
      <c r="U751" s="78"/>
      <c r="V751" s="81"/>
      <c r="W751" s="81"/>
      <c r="X751" s="81"/>
      <c r="Y751" s="84"/>
      <c r="Z751" s="34"/>
      <c r="AA751" s="29"/>
      <c r="AB751" s="29"/>
      <c r="AC751" s="97"/>
      <c r="AD751" s="100"/>
      <c r="AE751" s="102"/>
    </row>
    <row r="752" spans="1:31" ht="17.100000000000001" customHeight="1" x14ac:dyDescent="0.25">
      <c r="A752" s="51"/>
      <c r="B752" s="66"/>
      <c r="C752" s="68"/>
      <c r="D752" s="69"/>
      <c r="E752" s="70"/>
      <c r="F752" s="68"/>
      <c r="G752" s="70"/>
      <c r="H752" s="59"/>
      <c r="I752" s="27"/>
      <c r="J752" s="63"/>
      <c r="K752" s="71"/>
      <c r="L752" s="18"/>
      <c r="M752" s="66"/>
      <c r="N752" s="46"/>
      <c r="O752" s="47"/>
      <c r="P752" s="40"/>
      <c r="Q752" s="47"/>
      <c r="R752" s="40"/>
      <c r="S752" s="41"/>
      <c r="T752" s="31">
        <f>(P753-P750)+(R750-R753)</f>
        <v>0</v>
      </c>
      <c r="U752" s="78"/>
      <c r="V752" s="81"/>
      <c r="W752" s="81"/>
      <c r="X752" s="81"/>
      <c r="Y752" s="84"/>
      <c r="Z752" s="87"/>
      <c r="AA752" s="49"/>
      <c r="AB752" s="49"/>
      <c r="AC752" s="98"/>
      <c r="AD752" s="104"/>
      <c r="AE752" s="102"/>
    </row>
    <row r="753" spans="1:31" ht="17.100000000000001" customHeight="1" x14ac:dyDescent="0.25">
      <c r="A753" s="51"/>
      <c r="B753" s="54"/>
      <c r="C753" s="68"/>
      <c r="D753" s="69"/>
      <c r="E753" s="70"/>
      <c r="F753" s="68"/>
      <c r="G753" s="70"/>
      <c r="H753" s="59"/>
      <c r="I753" s="23"/>
      <c r="J753" s="88"/>
      <c r="K753" s="65"/>
      <c r="L753" s="18"/>
      <c r="M753" s="54"/>
      <c r="N753" s="90">
        <f>(P750-N750)+(P753-P750)+(R750-R753)</f>
        <v>0</v>
      </c>
      <c r="O753" s="91"/>
      <c r="P753" s="90"/>
      <c r="Q753" s="91"/>
      <c r="R753" s="90"/>
      <c r="S753" s="94"/>
      <c r="T753" s="32"/>
      <c r="U753" s="78"/>
      <c r="V753" s="81"/>
      <c r="W753" s="81"/>
      <c r="X753" s="81"/>
      <c r="Y753" s="84"/>
      <c r="Z753" s="34"/>
      <c r="AA753" s="28"/>
      <c r="AB753" s="28"/>
      <c r="AC753" s="97"/>
      <c r="AD753" s="100"/>
      <c r="AE753" s="102"/>
    </row>
    <row r="754" spans="1:31" ht="17.100000000000001" customHeight="1" x14ac:dyDescent="0.25">
      <c r="A754" s="51"/>
      <c r="B754" s="66"/>
      <c r="C754" s="68"/>
      <c r="D754" s="69"/>
      <c r="E754" s="70"/>
      <c r="F754" s="68"/>
      <c r="G754" s="70"/>
      <c r="H754" s="59"/>
      <c r="I754" s="24"/>
      <c r="J754" s="62"/>
      <c r="K754" s="71" t="s">
        <v>51</v>
      </c>
      <c r="L754" s="16" t="s">
        <v>51</v>
      </c>
      <c r="M754" s="66" t="s">
        <v>51</v>
      </c>
      <c r="N754" s="38"/>
      <c r="O754" s="45"/>
      <c r="P754" s="38"/>
      <c r="Q754" s="45"/>
      <c r="R754" s="38"/>
      <c r="S754" s="39"/>
      <c r="T754" s="31">
        <f t="shared" ref="T754" si="233">R753-P753</f>
        <v>0</v>
      </c>
      <c r="U754" s="78"/>
      <c r="V754" s="81"/>
      <c r="W754" s="81"/>
      <c r="X754" s="81"/>
      <c r="Y754" s="84"/>
      <c r="Z754" s="34"/>
      <c r="AA754" s="29"/>
      <c r="AB754" s="29"/>
      <c r="AC754" s="97"/>
      <c r="AD754" s="104"/>
      <c r="AE754" s="102"/>
    </row>
    <row r="755" spans="1:31" ht="17.100000000000001" customHeight="1" thickBot="1" x14ac:dyDescent="0.3">
      <c r="A755" s="52"/>
      <c r="B755" s="67"/>
      <c r="C755" s="73"/>
      <c r="D755" s="74"/>
      <c r="E755" s="75"/>
      <c r="F755" s="73"/>
      <c r="G755" s="75"/>
      <c r="H755" s="60"/>
      <c r="I755" s="25"/>
      <c r="J755" s="89"/>
      <c r="K755" s="72"/>
      <c r="L755" s="19" t="s">
        <v>52</v>
      </c>
      <c r="M755" s="67"/>
      <c r="N755" s="92"/>
      <c r="O755" s="93"/>
      <c r="P755" s="92"/>
      <c r="Q755" s="93"/>
      <c r="R755" s="92"/>
      <c r="S755" s="95"/>
      <c r="T755" s="33"/>
      <c r="U755" s="79"/>
      <c r="V755" s="82"/>
      <c r="W755" s="82"/>
      <c r="X755" s="82"/>
      <c r="Y755" s="85"/>
      <c r="Z755" s="35"/>
      <c r="AA755" s="30"/>
      <c r="AB755" s="30"/>
      <c r="AC755" s="105"/>
      <c r="AD755" s="106"/>
      <c r="AE755" s="103"/>
    </row>
    <row r="756" spans="1:31" ht="17.100000000000001" customHeight="1" x14ac:dyDescent="0.25">
      <c r="A756" s="50">
        <v>46023</v>
      </c>
      <c r="B756" s="53"/>
      <c r="C756" s="55"/>
      <c r="D756" s="56"/>
      <c r="E756" s="57"/>
      <c r="F756" s="55"/>
      <c r="G756" s="57"/>
      <c r="H756" s="58"/>
      <c r="I756" s="26"/>
      <c r="J756" s="61"/>
      <c r="K756" s="64"/>
      <c r="L756" s="11"/>
      <c r="M756" s="53"/>
      <c r="N756" s="42"/>
      <c r="O756" s="43"/>
      <c r="P756" s="36"/>
      <c r="Q756" s="43"/>
      <c r="R756" s="36"/>
      <c r="S756" s="37"/>
      <c r="T756" s="76">
        <f t="shared" ref="T756" si="234">R756-P756</f>
        <v>0</v>
      </c>
      <c r="U756" s="77"/>
      <c r="V756" s="80"/>
      <c r="W756" s="80"/>
      <c r="X756" s="80"/>
      <c r="Y756" s="83"/>
      <c r="Z756" s="86"/>
      <c r="AA756" s="48"/>
      <c r="AB756" s="48"/>
      <c r="AC756" s="96"/>
      <c r="AD756" s="99"/>
      <c r="AE756" s="101"/>
    </row>
    <row r="757" spans="1:31" ht="17.100000000000001" customHeight="1" x14ac:dyDescent="0.25">
      <c r="A757" s="51"/>
      <c r="B757" s="54"/>
      <c r="C757" s="68"/>
      <c r="D757" s="69"/>
      <c r="E757" s="70"/>
      <c r="F757" s="68"/>
      <c r="G757" s="70"/>
      <c r="H757" s="59"/>
      <c r="I757" s="24"/>
      <c r="J757" s="62"/>
      <c r="K757" s="65"/>
      <c r="L757" s="17"/>
      <c r="M757" s="54"/>
      <c r="N757" s="44"/>
      <c r="O757" s="45"/>
      <c r="P757" s="38"/>
      <c r="Q757" s="45"/>
      <c r="R757" s="38"/>
      <c r="S757" s="39"/>
      <c r="T757" s="32"/>
      <c r="U757" s="78"/>
      <c r="V757" s="81"/>
      <c r="W757" s="81"/>
      <c r="X757" s="81"/>
      <c r="Y757" s="84"/>
      <c r="Z757" s="34"/>
      <c r="AA757" s="29"/>
      <c r="AB757" s="29"/>
      <c r="AC757" s="97"/>
      <c r="AD757" s="100"/>
      <c r="AE757" s="102"/>
    </row>
    <row r="758" spans="1:31" ht="17.100000000000001" customHeight="1" x14ac:dyDescent="0.25">
      <c r="A758" s="51"/>
      <c r="B758" s="66"/>
      <c r="C758" s="68"/>
      <c r="D758" s="69"/>
      <c r="E758" s="70"/>
      <c r="F758" s="68"/>
      <c r="G758" s="70"/>
      <c r="H758" s="59"/>
      <c r="I758" s="27"/>
      <c r="J758" s="63"/>
      <c r="K758" s="71"/>
      <c r="L758" s="18"/>
      <c r="M758" s="66"/>
      <c r="N758" s="46"/>
      <c r="O758" s="47"/>
      <c r="P758" s="40"/>
      <c r="Q758" s="47"/>
      <c r="R758" s="40"/>
      <c r="S758" s="41"/>
      <c r="T758" s="31">
        <f>(P759-P756)+(R756-R759)</f>
        <v>0</v>
      </c>
      <c r="U758" s="78"/>
      <c r="V758" s="81"/>
      <c r="W758" s="81"/>
      <c r="X758" s="81"/>
      <c r="Y758" s="84"/>
      <c r="Z758" s="87"/>
      <c r="AA758" s="49"/>
      <c r="AB758" s="49"/>
      <c r="AC758" s="98"/>
      <c r="AD758" s="104"/>
      <c r="AE758" s="102"/>
    </row>
    <row r="759" spans="1:31" ht="17.100000000000001" customHeight="1" x14ac:dyDescent="0.25">
      <c r="A759" s="51"/>
      <c r="B759" s="54"/>
      <c r="C759" s="68"/>
      <c r="D759" s="69"/>
      <c r="E759" s="70"/>
      <c r="F759" s="68"/>
      <c r="G759" s="70"/>
      <c r="H759" s="59"/>
      <c r="I759" s="23"/>
      <c r="J759" s="88"/>
      <c r="K759" s="65"/>
      <c r="L759" s="18"/>
      <c r="M759" s="54"/>
      <c r="N759" s="90">
        <f>(P756-N756)+(P759-P756)+(R756-R759)</f>
        <v>0</v>
      </c>
      <c r="O759" s="91"/>
      <c r="P759" s="90"/>
      <c r="Q759" s="91"/>
      <c r="R759" s="90"/>
      <c r="S759" s="94"/>
      <c r="T759" s="32"/>
      <c r="U759" s="78"/>
      <c r="V759" s="81"/>
      <c r="W759" s="81"/>
      <c r="X759" s="81"/>
      <c r="Y759" s="84"/>
      <c r="Z759" s="34"/>
      <c r="AA759" s="28"/>
      <c r="AB759" s="28"/>
      <c r="AC759" s="97"/>
      <c r="AD759" s="100"/>
      <c r="AE759" s="102"/>
    </row>
    <row r="760" spans="1:31" ht="17.100000000000001" customHeight="1" x14ac:dyDescent="0.25">
      <c r="A760" s="51"/>
      <c r="B760" s="66"/>
      <c r="C760" s="68"/>
      <c r="D760" s="69"/>
      <c r="E760" s="70"/>
      <c r="F760" s="68"/>
      <c r="G760" s="70"/>
      <c r="H760" s="59"/>
      <c r="I760" s="24"/>
      <c r="J760" s="62"/>
      <c r="K760" s="71" t="s">
        <v>51</v>
      </c>
      <c r="L760" s="16" t="s">
        <v>51</v>
      </c>
      <c r="M760" s="66" t="s">
        <v>51</v>
      </c>
      <c r="N760" s="38"/>
      <c r="O760" s="45"/>
      <c r="P760" s="38"/>
      <c r="Q760" s="45"/>
      <c r="R760" s="38"/>
      <c r="S760" s="39"/>
      <c r="T760" s="31">
        <f t="shared" ref="T760" si="235">R759-P759</f>
        <v>0</v>
      </c>
      <c r="U760" s="78"/>
      <c r="V760" s="81"/>
      <c r="W760" s="81"/>
      <c r="X760" s="81"/>
      <c r="Y760" s="84"/>
      <c r="Z760" s="34"/>
      <c r="AA760" s="29"/>
      <c r="AB760" s="29"/>
      <c r="AC760" s="97"/>
      <c r="AD760" s="104"/>
      <c r="AE760" s="102"/>
    </row>
    <row r="761" spans="1:31" ht="17.100000000000001" customHeight="1" thickBot="1" x14ac:dyDescent="0.3">
      <c r="A761" s="52"/>
      <c r="B761" s="67"/>
      <c r="C761" s="73"/>
      <c r="D761" s="74"/>
      <c r="E761" s="75"/>
      <c r="F761" s="73"/>
      <c r="G761" s="75"/>
      <c r="H761" s="60"/>
      <c r="I761" s="25"/>
      <c r="J761" s="89"/>
      <c r="K761" s="72"/>
      <c r="L761" s="19" t="s">
        <v>52</v>
      </c>
      <c r="M761" s="67"/>
      <c r="N761" s="92"/>
      <c r="O761" s="93"/>
      <c r="P761" s="92"/>
      <c r="Q761" s="93"/>
      <c r="R761" s="92"/>
      <c r="S761" s="95"/>
      <c r="T761" s="33"/>
      <c r="U761" s="79"/>
      <c r="V761" s="82"/>
      <c r="W761" s="82"/>
      <c r="X761" s="82"/>
      <c r="Y761" s="85"/>
      <c r="Z761" s="35"/>
      <c r="AA761" s="30"/>
      <c r="AB761" s="30"/>
      <c r="AC761" s="105"/>
      <c r="AD761" s="106"/>
      <c r="AE761" s="103"/>
    </row>
    <row r="762" spans="1:31" ht="17.100000000000001" customHeight="1" x14ac:dyDescent="0.25">
      <c r="A762" s="50">
        <v>46023</v>
      </c>
      <c r="B762" s="53"/>
      <c r="C762" s="55"/>
      <c r="D762" s="56"/>
      <c r="E762" s="57"/>
      <c r="F762" s="55"/>
      <c r="G762" s="57"/>
      <c r="H762" s="58"/>
      <c r="I762" s="26"/>
      <c r="J762" s="61"/>
      <c r="K762" s="64"/>
      <c r="L762" s="11"/>
      <c r="M762" s="53"/>
      <c r="N762" s="42"/>
      <c r="O762" s="43"/>
      <c r="P762" s="36"/>
      <c r="Q762" s="43"/>
      <c r="R762" s="36"/>
      <c r="S762" s="37"/>
      <c r="T762" s="76">
        <f t="shared" ref="T762" si="236">R762-P762</f>
        <v>0</v>
      </c>
      <c r="U762" s="77"/>
      <c r="V762" s="80"/>
      <c r="W762" s="80"/>
      <c r="X762" s="80"/>
      <c r="Y762" s="83"/>
      <c r="Z762" s="86"/>
      <c r="AA762" s="48"/>
      <c r="AB762" s="48"/>
      <c r="AC762" s="96"/>
      <c r="AD762" s="99"/>
      <c r="AE762" s="101"/>
    </row>
    <row r="763" spans="1:31" ht="17.100000000000001" customHeight="1" x14ac:dyDescent="0.25">
      <c r="A763" s="51"/>
      <c r="B763" s="54"/>
      <c r="C763" s="68"/>
      <c r="D763" s="69"/>
      <c r="E763" s="70"/>
      <c r="F763" s="68"/>
      <c r="G763" s="70"/>
      <c r="H763" s="59"/>
      <c r="I763" s="24"/>
      <c r="J763" s="62"/>
      <c r="K763" s="65"/>
      <c r="L763" s="17"/>
      <c r="M763" s="54"/>
      <c r="N763" s="44"/>
      <c r="O763" s="45"/>
      <c r="P763" s="38"/>
      <c r="Q763" s="45"/>
      <c r="R763" s="38"/>
      <c r="S763" s="39"/>
      <c r="T763" s="32"/>
      <c r="U763" s="78"/>
      <c r="V763" s="81"/>
      <c r="W763" s="81"/>
      <c r="X763" s="81"/>
      <c r="Y763" s="84"/>
      <c r="Z763" s="34"/>
      <c r="AA763" s="29"/>
      <c r="AB763" s="29"/>
      <c r="AC763" s="97"/>
      <c r="AD763" s="100"/>
      <c r="AE763" s="102"/>
    </row>
    <row r="764" spans="1:31" ht="17.100000000000001" customHeight="1" x14ac:dyDescent="0.25">
      <c r="A764" s="51"/>
      <c r="B764" s="66"/>
      <c r="C764" s="68"/>
      <c r="D764" s="69"/>
      <c r="E764" s="70"/>
      <c r="F764" s="68"/>
      <c r="G764" s="70"/>
      <c r="H764" s="59"/>
      <c r="I764" s="27"/>
      <c r="J764" s="63"/>
      <c r="K764" s="71"/>
      <c r="L764" s="18"/>
      <c r="M764" s="66"/>
      <c r="N764" s="46"/>
      <c r="O764" s="47"/>
      <c r="P764" s="40"/>
      <c r="Q764" s="47"/>
      <c r="R764" s="40"/>
      <c r="S764" s="41"/>
      <c r="T764" s="31">
        <f>(P765-P762)+(R762-R765)</f>
        <v>0</v>
      </c>
      <c r="U764" s="78"/>
      <c r="V764" s="81"/>
      <c r="W764" s="81"/>
      <c r="X764" s="81"/>
      <c r="Y764" s="84"/>
      <c r="Z764" s="87"/>
      <c r="AA764" s="49"/>
      <c r="AB764" s="49"/>
      <c r="AC764" s="98"/>
      <c r="AD764" s="104"/>
      <c r="AE764" s="102"/>
    </row>
    <row r="765" spans="1:31" ht="17.100000000000001" customHeight="1" x14ac:dyDescent="0.25">
      <c r="A765" s="51"/>
      <c r="B765" s="54"/>
      <c r="C765" s="68"/>
      <c r="D765" s="69"/>
      <c r="E765" s="70"/>
      <c r="F765" s="68"/>
      <c r="G765" s="70"/>
      <c r="H765" s="59"/>
      <c r="I765" s="23"/>
      <c r="J765" s="88"/>
      <c r="K765" s="65"/>
      <c r="L765" s="18"/>
      <c r="M765" s="54"/>
      <c r="N765" s="90">
        <f>(P762-N762)+(P765-P762)+(R762-R765)</f>
        <v>0</v>
      </c>
      <c r="O765" s="91"/>
      <c r="P765" s="90"/>
      <c r="Q765" s="91"/>
      <c r="R765" s="90"/>
      <c r="S765" s="94"/>
      <c r="T765" s="32"/>
      <c r="U765" s="78"/>
      <c r="V765" s="81"/>
      <c r="W765" s="81"/>
      <c r="X765" s="81"/>
      <c r="Y765" s="84"/>
      <c r="Z765" s="34"/>
      <c r="AA765" s="28"/>
      <c r="AB765" s="28"/>
      <c r="AC765" s="97"/>
      <c r="AD765" s="100"/>
      <c r="AE765" s="102"/>
    </row>
    <row r="766" spans="1:31" ht="17.100000000000001" customHeight="1" x14ac:dyDescent="0.25">
      <c r="A766" s="51"/>
      <c r="B766" s="66"/>
      <c r="C766" s="68"/>
      <c r="D766" s="69"/>
      <c r="E766" s="70"/>
      <c r="F766" s="68"/>
      <c r="G766" s="70"/>
      <c r="H766" s="59"/>
      <c r="I766" s="24"/>
      <c r="J766" s="62"/>
      <c r="K766" s="71" t="s">
        <v>51</v>
      </c>
      <c r="L766" s="16" t="s">
        <v>51</v>
      </c>
      <c r="M766" s="66" t="s">
        <v>51</v>
      </c>
      <c r="N766" s="38"/>
      <c r="O766" s="45"/>
      <c r="P766" s="38"/>
      <c r="Q766" s="45"/>
      <c r="R766" s="38"/>
      <c r="S766" s="39"/>
      <c r="T766" s="31">
        <f t="shared" ref="T766" si="237">R765-P765</f>
        <v>0</v>
      </c>
      <c r="U766" s="78"/>
      <c r="V766" s="81"/>
      <c r="W766" s="81"/>
      <c r="X766" s="81"/>
      <c r="Y766" s="84"/>
      <c r="Z766" s="34"/>
      <c r="AA766" s="29"/>
      <c r="AB766" s="29"/>
      <c r="AC766" s="97"/>
      <c r="AD766" s="104"/>
      <c r="AE766" s="102"/>
    </row>
    <row r="767" spans="1:31" ht="17.100000000000001" customHeight="1" thickBot="1" x14ac:dyDescent="0.3">
      <c r="A767" s="52"/>
      <c r="B767" s="67"/>
      <c r="C767" s="73"/>
      <c r="D767" s="74"/>
      <c r="E767" s="75"/>
      <c r="F767" s="73"/>
      <c r="G767" s="75"/>
      <c r="H767" s="60"/>
      <c r="I767" s="25"/>
      <c r="J767" s="89"/>
      <c r="K767" s="72"/>
      <c r="L767" s="19" t="s">
        <v>52</v>
      </c>
      <c r="M767" s="67"/>
      <c r="N767" s="92"/>
      <c r="O767" s="93"/>
      <c r="P767" s="92"/>
      <c r="Q767" s="93"/>
      <c r="R767" s="92"/>
      <c r="S767" s="95"/>
      <c r="T767" s="33"/>
      <c r="U767" s="79"/>
      <c r="V767" s="82"/>
      <c r="W767" s="82"/>
      <c r="X767" s="82"/>
      <c r="Y767" s="85"/>
      <c r="Z767" s="35"/>
      <c r="AA767" s="30"/>
      <c r="AB767" s="30"/>
      <c r="AC767" s="105"/>
      <c r="AD767" s="106"/>
      <c r="AE767" s="103"/>
    </row>
    <row r="769" spans="1:31" ht="17.100000000000001" customHeight="1" thickBot="1" x14ac:dyDescent="0.3"/>
    <row r="770" spans="1:31" ht="17.100000000000001" customHeight="1" x14ac:dyDescent="0.25">
      <c r="A770" s="50">
        <v>46023</v>
      </c>
      <c r="B770" s="53"/>
      <c r="C770" s="55"/>
      <c r="D770" s="56"/>
      <c r="E770" s="57"/>
      <c r="F770" s="55"/>
      <c r="G770" s="57"/>
      <c r="H770" s="58"/>
      <c r="I770" s="26"/>
      <c r="J770" s="61"/>
      <c r="K770" s="64"/>
      <c r="L770" s="11"/>
      <c r="M770" s="53"/>
      <c r="N770" s="42"/>
      <c r="O770" s="43"/>
      <c r="P770" s="36"/>
      <c r="Q770" s="43"/>
      <c r="R770" s="36"/>
      <c r="S770" s="37"/>
      <c r="T770" s="76">
        <f t="shared" ref="T770" si="238">R770-P770</f>
        <v>0</v>
      </c>
      <c r="U770" s="77"/>
      <c r="V770" s="80"/>
      <c r="W770" s="80"/>
      <c r="X770" s="80"/>
      <c r="Y770" s="83"/>
      <c r="Z770" s="86"/>
      <c r="AA770" s="48"/>
      <c r="AB770" s="48"/>
      <c r="AC770" s="96"/>
      <c r="AD770" s="99"/>
      <c r="AE770" s="101"/>
    </row>
    <row r="771" spans="1:31" ht="17.100000000000001" customHeight="1" x14ac:dyDescent="0.25">
      <c r="A771" s="51"/>
      <c r="B771" s="54"/>
      <c r="C771" s="68"/>
      <c r="D771" s="69"/>
      <c r="E771" s="70"/>
      <c r="F771" s="68"/>
      <c r="G771" s="70"/>
      <c r="H771" s="59"/>
      <c r="I771" s="24"/>
      <c r="J771" s="62"/>
      <c r="K771" s="65"/>
      <c r="L771" s="17"/>
      <c r="M771" s="54"/>
      <c r="N771" s="44"/>
      <c r="O771" s="45"/>
      <c r="P771" s="38"/>
      <c r="Q771" s="45"/>
      <c r="R771" s="38"/>
      <c r="S771" s="39"/>
      <c r="T771" s="32"/>
      <c r="U771" s="78"/>
      <c r="V771" s="81"/>
      <c r="W771" s="81"/>
      <c r="X771" s="81"/>
      <c r="Y771" s="84"/>
      <c r="Z771" s="34"/>
      <c r="AA771" s="29"/>
      <c r="AB771" s="29"/>
      <c r="AC771" s="97"/>
      <c r="AD771" s="100"/>
      <c r="AE771" s="102"/>
    </row>
    <row r="772" spans="1:31" ht="17.100000000000001" customHeight="1" x14ac:dyDescent="0.25">
      <c r="A772" s="51"/>
      <c r="B772" s="66"/>
      <c r="C772" s="68"/>
      <c r="D772" s="69"/>
      <c r="E772" s="70"/>
      <c r="F772" s="68"/>
      <c r="G772" s="70"/>
      <c r="H772" s="59"/>
      <c r="I772" s="27"/>
      <c r="J772" s="63"/>
      <c r="K772" s="71"/>
      <c r="L772" s="18"/>
      <c r="M772" s="66"/>
      <c r="N772" s="46"/>
      <c r="O772" s="47"/>
      <c r="P772" s="40"/>
      <c r="Q772" s="47"/>
      <c r="R772" s="40"/>
      <c r="S772" s="41"/>
      <c r="T772" s="31">
        <f>(P773-P770)+(R770-R773)</f>
        <v>0</v>
      </c>
      <c r="U772" s="78"/>
      <c r="V772" s="81"/>
      <c r="W772" s="81"/>
      <c r="X772" s="81"/>
      <c r="Y772" s="84"/>
      <c r="Z772" s="87"/>
      <c r="AA772" s="49"/>
      <c r="AB772" s="49"/>
      <c r="AC772" s="98"/>
      <c r="AD772" s="104"/>
      <c r="AE772" s="102"/>
    </row>
    <row r="773" spans="1:31" ht="17.100000000000001" customHeight="1" x14ac:dyDescent="0.25">
      <c r="A773" s="51"/>
      <c r="B773" s="54"/>
      <c r="C773" s="68"/>
      <c r="D773" s="69"/>
      <c r="E773" s="70"/>
      <c r="F773" s="68"/>
      <c r="G773" s="70"/>
      <c r="H773" s="59"/>
      <c r="I773" s="23"/>
      <c r="J773" s="88"/>
      <c r="K773" s="65"/>
      <c r="L773" s="18"/>
      <c r="M773" s="54"/>
      <c r="N773" s="90">
        <f>(P770-N770)+(P773-P770)+(R770-R773)</f>
        <v>0</v>
      </c>
      <c r="O773" s="91"/>
      <c r="P773" s="90"/>
      <c r="Q773" s="91"/>
      <c r="R773" s="90"/>
      <c r="S773" s="94"/>
      <c r="T773" s="32"/>
      <c r="U773" s="78"/>
      <c r="V773" s="81"/>
      <c r="W773" s="81"/>
      <c r="X773" s="81"/>
      <c r="Y773" s="84"/>
      <c r="Z773" s="34"/>
      <c r="AA773" s="28"/>
      <c r="AB773" s="28"/>
      <c r="AC773" s="97"/>
      <c r="AD773" s="100"/>
      <c r="AE773" s="102"/>
    </row>
    <row r="774" spans="1:31" ht="17.100000000000001" customHeight="1" x14ac:dyDescent="0.25">
      <c r="A774" s="51"/>
      <c r="B774" s="66"/>
      <c r="C774" s="68"/>
      <c r="D774" s="69"/>
      <c r="E774" s="70"/>
      <c r="F774" s="68"/>
      <c r="G774" s="70"/>
      <c r="H774" s="59"/>
      <c r="I774" s="24"/>
      <c r="J774" s="62"/>
      <c r="K774" s="71" t="s">
        <v>51</v>
      </c>
      <c r="L774" s="16" t="s">
        <v>51</v>
      </c>
      <c r="M774" s="66" t="s">
        <v>51</v>
      </c>
      <c r="N774" s="38"/>
      <c r="O774" s="45"/>
      <c r="P774" s="38"/>
      <c r="Q774" s="45"/>
      <c r="R774" s="38"/>
      <c r="S774" s="39"/>
      <c r="T774" s="31">
        <f t="shared" ref="T774" si="239">R773-P773</f>
        <v>0</v>
      </c>
      <c r="U774" s="78"/>
      <c r="V774" s="81"/>
      <c r="W774" s="81"/>
      <c r="X774" s="81"/>
      <c r="Y774" s="84"/>
      <c r="Z774" s="34"/>
      <c r="AA774" s="29"/>
      <c r="AB774" s="29"/>
      <c r="AC774" s="97"/>
      <c r="AD774" s="104"/>
      <c r="AE774" s="102"/>
    </row>
    <row r="775" spans="1:31" ht="17.100000000000001" customHeight="1" thickBot="1" x14ac:dyDescent="0.3">
      <c r="A775" s="52"/>
      <c r="B775" s="67"/>
      <c r="C775" s="73"/>
      <c r="D775" s="74"/>
      <c r="E775" s="75"/>
      <c r="F775" s="73"/>
      <c r="G775" s="75"/>
      <c r="H775" s="60"/>
      <c r="I775" s="25"/>
      <c r="J775" s="89"/>
      <c r="K775" s="72"/>
      <c r="L775" s="19" t="s">
        <v>52</v>
      </c>
      <c r="M775" s="67"/>
      <c r="N775" s="92"/>
      <c r="O775" s="93"/>
      <c r="P775" s="92"/>
      <c r="Q775" s="93"/>
      <c r="R775" s="92"/>
      <c r="S775" s="95"/>
      <c r="T775" s="33"/>
      <c r="U775" s="79"/>
      <c r="V775" s="82"/>
      <c r="W775" s="82"/>
      <c r="X775" s="82"/>
      <c r="Y775" s="85"/>
      <c r="Z775" s="35"/>
      <c r="AA775" s="30"/>
      <c r="AB775" s="30"/>
      <c r="AC775" s="105"/>
      <c r="AD775" s="106"/>
      <c r="AE775" s="103"/>
    </row>
    <row r="776" spans="1:31" ht="17.100000000000001" customHeight="1" x14ac:dyDescent="0.25">
      <c r="A776" s="50">
        <v>46023</v>
      </c>
      <c r="B776" s="53"/>
      <c r="C776" s="55"/>
      <c r="D776" s="56"/>
      <c r="E776" s="57"/>
      <c r="F776" s="55"/>
      <c r="G776" s="57"/>
      <c r="H776" s="58"/>
      <c r="I776" s="26"/>
      <c r="J776" s="61"/>
      <c r="K776" s="64"/>
      <c r="L776" s="11"/>
      <c r="M776" s="53"/>
      <c r="N776" s="42"/>
      <c r="O776" s="43"/>
      <c r="P776" s="36"/>
      <c r="Q776" s="43"/>
      <c r="R776" s="36"/>
      <c r="S776" s="37"/>
      <c r="T776" s="76">
        <f t="shared" ref="T776" si="240">R776-P776</f>
        <v>0</v>
      </c>
      <c r="U776" s="77"/>
      <c r="V776" s="80"/>
      <c r="W776" s="80"/>
      <c r="X776" s="80"/>
      <c r="Y776" s="83"/>
      <c r="Z776" s="86"/>
      <c r="AA776" s="48"/>
      <c r="AB776" s="48"/>
      <c r="AC776" s="96"/>
      <c r="AD776" s="99"/>
      <c r="AE776" s="101"/>
    </row>
    <row r="777" spans="1:31" ht="17.100000000000001" customHeight="1" x14ac:dyDescent="0.25">
      <c r="A777" s="51"/>
      <c r="B777" s="54"/>
      <c r="C777" s="68"/>
      <c r="D777" s="69"/>
      <c r="E777" s="70"/>
      <c r="F777" s="68"/>
      <c r="G777" s="70"/>
      <c r="H777" s="59"/>
      <c r="I777" s="24"/>
      <c r="J777" s="62"/>
      <c r="K777" s="65"/>
      <c r="L777" s="17"/>
      <c r="M777" s="54"/>
      <c r="N777" s="44"/>
      <c r="O777" s="45"/>
      <c r="P777" s="38"/>
      <c r="Q777" s="45"/>
      <c r="R777" s="38"/>
      <c r="S777" s="39"/>
      <c r="T777" s="32"/>
      <c r="U777" s="78"/>
      <c r="V777" s="81"/>
      <c r="W777" s="81"/>
      <c r="X777" s="81"/>
      <c r="Y777" s="84"/>
      <c r="Z777" s="34"/>
      <c r="AA777" s="29"/>
      <c r="AB777" s="29"/>
      <c r="AC777" s="97"/>
      <c r="AD777" s="100"/>
      <c r="AE777" s="102"/>
    </row>
    <row r="778" spans="1:31" ht="17.100000000000001" customHeight="1" x14ac:dyDescent="0.25">
      <c r="A778" s="51"/>
      <c r="B778" s="66"/>
      <c r="C778" s="68"/>
      <c r="D778" s="69"/>
      <c r="E778" s="70"/>
      <c r="F778" s="68"/>
      <c r="G778" s="70"/>
      <c r="H778" s="59"/>
      <c r="I778" s="27"/>
      <c r="J778" s="63"/>
      <c r="K778" s="71"/>
      <c r="L778" s="18"/>
      <c r="M778" s="66"/>
      <c r="N778" s="46"/>
      <c r="O778" s="47"/>
      <c r="P778" s="40"/>
      <c r="Q778" s="47"/>
      <c r="R778" s="40"/>
      <c r="S778" s="41"/>
      <c r="T778" s="31">
        <f>(P779-P776)+(R776-R779)</f>
        <v>0</v>
      </c>
      <c r="U778" s="78"/>
      <c r="V778" s="81"/>
      <c r="W778" s="81"/>
      <c r="X778" s="81"/>
      <c r="Y778" s="84"/>
      <c r="Z778" s="87"/>
      <c r="AA778" s="49"/>
      <c r="AB778" s="49"/>
      <c r="AC778" s="98"/>
      <c r="AD778" s="104"/>
      <c r="AE778" s="102"/>
    </row>
    <row r="779" spans="1:31" ht="17.100000000000001" customHeight="1" x14ac:dyDescent="0.25">
      <c r="A779" s="51"/>
      <c r="B779" s="54"/>
      <c r="C779" s="68"/>
      <c r="D779" s="69"/>
      <c r="E779" s="70"/>
      <c r="F779" s="68"/>
      <c r="G779" s="70"/>
      <c r="H779" s="59"/>
      <c r="I779" s="23"/>
      <c r="J779" s="88"/>
      <c r="K779" s="65"/>
      <c r="L779" s="18"/>
      <c r="M779" s="54"/>
      <c r="N779" s="90">
        <f>(P776-N776)+(P779-P776)+(R776-R779)</f>
        <v>0</v>
      </c>
      <c r="O779" s="91"/>
      <c r="P779" s="90"/>
      <c r="Q779" s="91"/>
      <c r="R779" s="90"/>
      <c r="S779" s="94"/>
      <c r="T779" s="32"/>
      <c r="U779" s="78"/>
      <c r="V779" s="81"/>
      <c r="W779" s="81"/>
      <c r="X779" s="81"/>
      <c r="Y779" s="84"/>
      <c r="Z779" s="34"/>
      <c r="AA779" s="28"/>
      <c r="AB779" s="28"/>
      <c r="AC779" s="97"/>
      <c r="AD779" s="100"/>
      <c r="AE779" s="102"/>
    </row>
    <row r="780" spans="1:31" ht="17.100000000000001" customHeight="1" x14ac:dyDescent="0.25">
      <c r="A780" s="51"/>
      <c r="B780" s="66"/>
      <c r="C780" s="68"/>
      <c r="D780" s="69"/>
      <c r="E780" s="70"/>
      <c r="F780" s="68"/>
      <c r="G780" s="70"/>
      <c r="H780" s="59"/>
      <c r="I780" s="24"/>
      <c r="J780" s="62"/>
      <c r="K780" s="71" t="s">
        <v>51</v>
      </c>
      <c r="L780" s="16" t="s">
        <v>51</v>
      </c>
      <c r="M780" s="66" t="s">
        <v>51</v>
      </c>
      <c r="N780" s="38"/>
      <c r="O780" s="45"/>
      <c r="P780" s="38"/>
      <c r="Q780" s="45"/>
      <c r="R780" s="38"/>
      <c r="S780" s="39"/>
      <c r="T780" s="31">
        <f t="shared" ref="T780" si="241">R779-P779</f>
        <v>0</v>
      </c>
      <c r="U780" s="78"/>
      <c r="V780" s="81"/>
      <c r="W780" s="81"/>
      <c r="X780" s="81"/>
      <c r="Y780" s="84"/>
      <c r="Z780" s="34"/>
      <c r="AA780" s="29"/>
      <c r="AB780" s="29"/>
      <c r="AC780" s="97"/>
      <c r="AD780" s="104"/>
      <c r="AE780" s="102"/>
    </row>
    <row r="781" spans="1:31" ht="17.100000000000001" customHeight="1" thickBot="1" x14ac:dyDescent="0.3">
      <c r="A781" s="52"/>
      <c r="B781" s="67"/>
      <c r="C781" s="73"/>
      <c r="D781" s="74"/>
      <c r="E781" s="75"/>
      <c r="F781" s="73"/>
      <c r="G781" s="75"/>
      <c r="H781" s="60"/>
      <c r="I781" s="25"/>
      <c r="J781" s="89"/>
      <c r="K781" s="72"/>
      <c r="L781" s="19" t="s">
        <v>52</v>
      </c>
      <c r="M781" s="67"/>
      <c r="N781" s="92"/>
      <c r="O781" s="93"/>
      <c r="P781" s="92"/>
      <c r="Q781" s="93"/>
      <c r="R781" s="92"/>
      <c r="S781" s="95"/>
      <c r="T781" s="33"/>
      <c r="U781" s="79"/>
      <c r="V781" s="82"/>
      <c r="W781" s="82"/>
      <c r="X781" s="82"/>
      <c r="Y781" s="85"/>
      <c r="Z781" s="35"/>
      <c r="AA781" s="30"/>
      <c r="AB781" s="30"/>
      <c r="AC781" s="105"/>
      <c r="AD781" s="106"/>
      <c r="AE781" s="103"/>
    </row>
    <row r="782" spans="1:31" ht="17.100000000000001" customHeight="1" x14ac:dyDescent="0.25">
      <c r="A782" s="50">
        <v>46023</v>
      </c>
      <c r="B782" s="53"/>
      <c r="C782" s="55"/>
      <c r="D782" s="56"/>
      <c r="E782" s="57"/>
      <c r="F782" s="55"/>
      <c r="G782" s="57"/>
      <c r="H782" s="58"/>
      <c r="I782" s="26"/>
      <c r="J782" s="61"/>
      <c r="K782" s="64"/>
      <c r="L782" s="11"/>
      <c r="M782" s="53"/>
      <c r="N782" s="42"/>
      <c r="O782" s="43"/>
      <c r="P782" s="36"/>
      <c r="Q782" s="43"/>
      <c r="R782" s="36"/>
      <c r="S782" s="37"/>
      <c r="T782" s="76">
        <f t="shared" ref="T782" si="242">R782-P782</f>
        <v>0</v>
      </c>
      <c r="U782" s="77"/>
      <c r="V782" s="80"/>
      <c r="W782" s="80"/>
      <c r="X782" s="80"/>
      <c r="Y782" s="83"/>
      <c r="Z782" s="86"/>
      <c r="AA782" s="48"/>
      <c r="AB782" s="48"/>
      <c r="AC782" s="96"/>
      <c r="AD782" s="99"/>
      <c r="AE782" s="101"/>
    </row>
    <row r="783" spans="1:31" ht="17.100000000000001" customHeight="1" x14ac:dyDescent="0.25">
      <c r="A783" s="51"/>
      <c r="B783" s="54"/>
      <c r="C783" s="68"/>
      <c r="D783" s="69"/>
      <c r="E783" s="70"/>
      <c r="F783" s="68"/>
      <c r="G783" s="70"/>
      <c r="H783" s="59"/>
      <c r="I783" s="24"/>
      <c r="J783" s="62"/>
      <c r="K783" s="65"/>
      <c r="L783" s="17"/>
      <c r="M783" s="54"/>
      <c r="N783" s="44"/>
      <c r="O783" s="45"/>
      <c r="P783" s="38"/>
      <c r="Q783" s="45"/>
      <c r="R783" s="38"/>
      <c r="S783" s="39"/>
      <c r="T783" s="32"/>
      <c r="U783" s="78"/>
      <c r="V783" s="81"/>
      <c r="W783" s="81"/>
      <c r="X783" s="81"/>
      <c r="Y783" s="84"/>
      <c r="Z783" s="34"/>
      <c r="AA783" s="29"/>
      <c r="AB783" s="29"/>
      <c r="AC783" s="97"/>
      <c r="AD783" s="100"/>
      <c r="AE783" s="102"/>
    </row>
    <row r="784" spans="1:31" ht="17.100000000000001" customHeight="1" x14ac:dyDescent="0.25">
      <c r="A784" s="51"/>
      <c r="B784" s="66"/>
      <c r="C784" s="68"/>
      <c r="D784" s="69"/>
      <c r="E784" s="70"/>
      <c r="F784" s="68"/>
      <c r="G784" s="70"/>
      <c r="H784" s="59"/>
      <c r="I784" s="27"/>
      <c r="J784" s="63"/>
      <c r="K784" s="71"/>
      <c r="L784" s="18"/>
      <c r="M784" s="66"/>
      <c r="N784" s="46"/>
      <c r="O784" s="47"/>
      <c r="P784" s="40"/>
      <c r="Q784" s="47"/>
      <c r="R784" s="40"/>
      <c r="S784" s="41"/>
      <c r="T784" s="31">
        <f>(P785-P782)+(R782-R785)</f>
        <v>0</v>
      </c>
      <c r="U784" s="78"/>
      <c r="V784" s="81"/>
      <c r="W784" s="81"/>
      <c r="X784" s="81"/>
      <c r="Y784" s="84"/>
      <c r="Z784" s="87"/>
      <c r="AA784" s="49"/>
      <c r="AB784" s="49"/>
      <c r="AC784" s="98"/>
      <c r="AD784" s="104"/>
      <c r="AE784" s="102"/>
    </row>
    <row r="785" spans="1:31" ht="17.100000000000001" customHeight="1" x14ac:dyDescent="0.25">
      <c r="A785" s="51"/>
      <c r="B785" s="54"/>
      <c r="C785" s="68"/>
      <c r="D785" s="69"/>
      <c r="E785" s="70"/>
      <c r="F785" s="68"/>
      <c r="G785" s="70"/>
      <c r="H785" s="59"/>
      <c r="I785" s="23"/>
      <c r="J785" s="88"/>
      <c r="K785" s="65"/>
      <c r="L785" s="18"/>
      <c r="M785" s="54"/>
      <c r="N785" s="90">
        <f>(P782-N782)+(P785-P782)+(R782-R785)</f>
        <v>0</v>
      </c>
      <c r="O785" s="91"/>
      <c r="P785" s="90"/>
      <c r="Q785" s="91"/>
      <c r="R785" s="90"/>
      <c r="S785" s="94"/>
      <c r="T785" s="32"/>
      <c r="U785" s="78"/>
      <c r="V785" s="81"/>
      <c r="W785" s="81"/>
      <c r="X785" s="81"/>
      <c r="Y785" s="84"/>
      <c r="Z785" s="34"/>
      <c r="AA785" s="28"/>
      <c r="AB785" s="28"/>
      <c r="AC785" s="97"/>
      <c r="AD785" s="100"/>
      <c r="AE785" s="102"/>
    </row>
    <row r="786" spans="1:31" ht="17.100000000000001" customHeight="1" x14ac:dyDescent="0.25">
      <c r="A786" s="51"/>
      <c r="B786" s="66"/>
      <c r="C786" s="68"/>
      <c r="D786" s="69"/>
      <c r="E786" s="70"/>
      <c r="F786" s="68"/>
      <c r="G786" s="70"/>
      <c r="H786" s="59"/>
      <c r="I786" s="24"/>
      <c r="J786" s="62"/>
      <c r="K786" s="71" t="s">
        <v>51</v>
      </c>
      <c r="L786" s="16" t="s">
        <v>51</v>
      </c>
      <c r="M786" s="66" t="s">
        <v>51</v>
      </c>
      <c r="N786" s="38"/>
      <c r="O786" s="45"/>
      <c r="P786" s="38"/>
      <c r="Q786" s="45"/>
      <c r="R786" s="38"/>
      <c r="S786" s="39"/>
      <c r="T786" s="31">
        <f t="shared" ref="T786" si="243">R785-P785</f>
        <v>0</v>
      </c>
      <c r="U786" s="78"/>
      <c r="V786" s="81"/>
      <c r="W786" s="81"/>
      <c r="X786" s="81"/>
      <c r="Y786" s="84"/>
      <c r="Z786" s="34"/>
      <c r="AA786" s="29"/>
      <c r="AB786" s="29"/>
      <c r="AC786" s="97"/>
      <c r="AD786" s="104"/>
      <c r="AE786" s="102"/>
    </row>
    <row r="787" spans="1:31" ht="17.100000000000001" customHeight="1" thickBot="1" x14ac:dyDescent="0.3">
      <c r="A787" s="52"/>
      <c r="B787" s="67"/>
      <c r="C787" s="73"/>
      <c r="D787" s="74"/>
      <c r="E787" s="75"/>
      <c r="F787" s="73"/>
      <c r="G787" s="75"/>
      <c r="H787" s="60"/>
      <c r="I787" s="25"/>
      <c r="J787" s="89"/>
      <c r="K787" s="72"/>
      <c r="L787" s="19" t="s">
        <v>52</v>
      </c>
      <c r="M787" s="67"/>
      <c r="N787" s="92"/>
      <c r="O787" s="93"/>
      <c r="P787" s="92"/>
      <c r="Q787" s="93"/>
      <c r="R787" s="92"/>
      <c r="S787" s="95"/>
      <c r="T787" s="33"/>
      <c r="U787" s="79"/>
      <c r="V787" s="82"/>
      <c r="W787" s="82"/>
      <c r="X787" s="82"/>
      <c r="Y787" s="85"/>
      <c r="Z787" s="35"/>
      <c r="AA787" s="30"/>
      <c r="AB787" s="30"/>
      <c r="AC787" s="105"/>
      <c r="AD787" s="106"/>
      <c r="AE787" s="103"/>
    </row>
    <row r="788" spans="1:31" ht="17.100000000000001" customHeight="1" x14ac:dyDescent="0.25">
      <c r="A788" s="50">
        <v>46023</v>
      </c>
      <c r="B788" s="53"/>
      <c r="C788" s="55"/>
      <c r="D788" s="56"/>
      <c r="E788" s="57"/>
      <c r="F788" s="55"/>
      <c r="G788" s="57"/>
      <c r="H788" s="58"/>
      <c r="I788" s="26"/>
      <c r="J788" s="61"/>
      <c r="K788" s="64"/>
      <c r="L788" s="11"/>
      <c r="M788" s="53"/>
      <c r="N788" s="42"/>
      <c r="O788" s="43"/>
      <c r="P788" s="36"/>
      <c r="Q788" s="43"/>
      <c r="R788" s="36"/>
      <c r="S788" s="37"/>
      <c r="T788" s="76">
        <f t="shared" ref="T788" si="244">R788-P788</f>
        <v>0</v>
      </c>
      <c r="U788" s="77"/>
      <c r="V788" s="80"/>
      <c r="W788" s="80"/>
      <c r="X788" s="80"/>
      <c r="Y788" s="83"/>
      <c r="Z788" s="86"/>
      <c r="AA788" s="48"/>
      <c r="AB788" s="48"/>
      <c r="AC788" s="96"/>
      <c r="AD788" s="99"/>
      <c r="AE788" s="101"/>
    </row>
    <row r="789" spans="1:31" ht="17.100000000000001" customHeight="1" x14ac:dyDescent="0.25">
      <c r="A789" s="51"/>
      <c r="B789" s="54"/>
      <c r="C789" s="68"/>
      <c r="D789" s="69"/>
      <c r="E789" s="70"/>
      <c r="F789" s="68"/>
      <c r="G789" s="70"/>
      <c r="H789" s="59"/>
      <c r="I789" s="24"/>
      <c r="J789" s="62"/>
      <c r="K789" s="65"/>
      <c r="L789" s="17"/>
      <c r="M789" s="54"/>
      <c r="N789" s="44"/>
      <c r="O789" s="45"/>
      <c r="P789" s="38"/>
      <c r="Q789" s="45"/>
      <c r="R789" s="38"/>
      <c r="S789" s="39"/>
      <c r="T789" s="32"/>
      <c r="U789" s="78"/>
      <c r="V789" s="81"/>
      <c r="W789" s="81"/>
      <c r="X789" s="81"/>
      <c r="Y789" s="84"/>
      <c r="Z789" s="34"/>
      <c r="AA789" s="29"/>
      <c r="AB789" s="29"/>
      <c r="AC789" s="97"/>
      <c r="AD789" s="100"/>
      <c r="AE789" s="102"/>
    </row>
    <row r="790" spans="1:31" ht="17.100000000000001" customHeight="1" x14ac:dyDescent="0.25">
      <c r="A790" s="51"/>
      <c r="B790" s="66"/>
      <c r="C790" s="68"/>
      <c r="D790" s="69"/>
      <c r="E790" s="70"/>
      <c r="F790" s="68"/>
      <c r="G790" s="70"/>
      <c r="H790" s="59"/>
      <c r="I790" s="27"/>
      <c r="J790" s="63"/>
      <c r="K790" s="71"/>
      <c r="L790" s="18"/>
      <c r="M790" s="66"/>
      <c r="N790" s="46"/>
      <c r="O790" s="47"/>
      <c r="P790" s="40"/>
      <c r="Q790" s="47"/>
      <c r="R790" s="40"/>
      <c r="S790" s="41"/>
      <c r="T790" s="31">
        <f>(P791-P788)+(R788-R791)</f>
        <v>0</v>
      </c>
      <c r="U790" s="78"/>
      <c r="V790" s="81"/>
      <c r="W790" s="81"/>
      <c r="X790" s="81"/>
      <c r="Y790" s="84"/>
      <c r="Z790" s="87"/>
      <c r="AA790" s="49"/>
      <c r="AB790" s="49"/>
      <c r="AC790" s="98"/>
      <c r="AD790" s="104"/>
      <c r="AE790" s="102"/>
    </row>
    <row r="791" spans="1:31" ht="17.100000000000001" customHeight="1" x14ac:dyDescent="0.25">
      <c r="A791" s="51"/>
      <c r="B791" s="54"/>
      <c r="C791" s="68"/>
      <c r="D791" s="69"/>
      <c r="E791" s="70"/>
      <c r="F791" s="68"/>
      <c r="G791" s="70"/>
      <c r="H791" s="59"/>
      <c r="I791" s="23"/>
      <c r="J791" s="88"/>
      <c r="K791" s="65"/>
      <c r="L791" s="18"/>
      <c r="M791" s="54"/>
      <c r="N791" s="90">
        <f>(P788-N788)+(P791-P788)+(R788-R791)</f>
        <v>0</v>
      </c>
      <c r="O791" s="91"/>
      <c r="P791" s="90"/>
      <c r="Q791" s="91"/>
      <c r="R791" s="90"/>
      <c r="S791" s="94"/>
      <c r="T791" s="32"/>
      <c r="U791" s="78"/>
      <c r="V791" s="81"/>
      <c r="W791" s="81"/>
      <c r="X791" s="81"/>
      <c r="Y791" s="84"/>
      <c r="Z791" s="34"/>
      <c r="AA791" s="28"/>
      <c r="AB791" s="28"/>
      <c r="AC791" s="97"/>
      <c r="AD791" s="100"/>
      <c r="AE791" s="102"/>
    </row>
    <row r="792" spans="1:31" ht="17.100000000000001" customHeight="1" x14ac:dyDescent="0.25">
      <c r="A792" s="51"/>
      <c r="B792" s="66"/>
      <c r="C792" s="68"/>
      <c r="D792" s="69"/>
      <c r="E792" s="70"/>
      <c r="F792" s="68"/>
      <c r="G792" s="70"/>
      <c r="H792" s="59"/>
      <c r="I792" s="24"/>
      <c r="J792" s="62"/>
      <c r="K792" s="71" t="s">
        <v>51</v>
      </c>
      <c r="L792" s="16" t="s">
        <v>51</v>
      </c>
      <c r="M792" s="66" t="s">
        <v>51</v>
      </c>
      <c r="N792" s="38"/>
      <c r="O792" s="45"/>
      <c r="P792" s="38"/>
      <c r="Q792" s="45"/>
      <c r="R792" s="38"/>
      <c r="S792" s="39"/>
      <c r="T792" s="31">
        <f t="shared" ref="T792" si="245">R791-P791</f>
        <v>0</v>
      </c>
      <c r="U792" s="78"/>
      <c r="V792" s="81"/>
      <c r="W792" s="81"/>
      <c r="X792" s="81"/>
      <c r="Y792" s="84"/>
      <c r="Z792" s="34"/>
      <c r="AA792" s="29"/>
      <c r="AB792" s="29"/>
      <c r="AC792" s="97"/>
      <c r="AD792" s="104"/>
      <c r="AE792" s="102"/>
    </row>
    <row r="793" spans="1:31" ht="17.100000000000001" customHeight="1" thickBot="1" x14ac:dyDescent="0.3">
      <c r="A793" s="52"/>
      <c r="B793" s="67"/>
      <c r="C793" s="73"/>
      <c r="D793" s="74"/>
      <c r="E793" s="75"/>
      <c r="F793" s="73"/>
      <c r="G793" s="75"/>
      <c r="H793" s="60"/>
      <c r="I793" s="25"/>
      <c r="J793" s="89"/>
      <c r="K793" s="72"/>
      <c r="L793" s="19" t="s">
        <v>52</v>
      </c>
      <c r="M793" s="67"/>
      <c r="N793" s="92"/>
      <c r="O793" s="93"/>
      <c r="P793" s="92"/>
      <c r="Q793" s="93"/>
      <c r="R793" s="92"/>
      <c r="S793" s="95"/>
      <c r="T793" s="33"/>
      <c r="U793" s="79"/>
      <c r="V793" s="82"/>
      <c r="W793" s="82"/>
      <c r="X793" s="82"/>
      <c r="Y793" s="85"/>
      <c r="Z793" s="35"/>
      <c r="AA793" s="30"/>
      <c r="AB793" s="30"/>
      <c r="AC793" s="105"/>
      <c r="AD793" s="106"/>
      <c r="AE793" s="103"/>
    </row>
    <row r="794" spans="1:31" ht="17.100000000000001" customHeight="1" x14ac:dyDescent="0.25">
      <c r="A794" s="50">
        <v>46023</v>
      </c>
      <c r="B794" s="53"/>
      <c r="C794" s="55"/>
      <c r="D794" s="56"/>
      <c r="E794" s="57"/>
      <c r="F794" s="55"/>
      <c r="G794" s="57"/>
      <c r="H794" s="58"/>
      <c r="I794" s="26"/>
      <c r="J794" s="61"/>
      <c r="K794" s="64"/>
      <c r="L794" s="11"/>
      <c r="M794" s="53"/>
      <c r="N794" s="42"/>
      <c r="O794" s="43"/>
      <c r="P794" s="36"/>
      <c r="Q794" s="43"/>
      <c r="R794" s="36"/>
      <c r="S794" s="37"/>
      <c r="T794" s="76">
        <f t="shared" ref="T794" si="246">R794-P794</f>
        <v>0</v>
      </c>
      <c r="U794" s="77"/>
      <c r="V794" s="80"/>
      <c r="W794" s="80"/>
      <c r="X794" s="80"/>
      <c r="Y794" s="83"/>
      <c r="Z794" s="86"/>
      <c r="AA794" s="48"/>
      <c r="AB794" s="48"/>
      <c r="AC794" s="96"/>
      <c r="AD794" s="99"/>
      <c r="AE794" s="101"/>
    </row>
    <row r="795" spans="1:31" ht="17.100000000000001" customHeight="1" x14ac:dyDescent="0.25">
      <c r="A795" s="51"/>
      <c r="B795" s="54"/>
      <c r="C795" s="68"/>
      <c r="D795" s="69"/>
      <c r="E795" s="70"/>
      <c r="F795" s="68"/>
      <c r="G795" s="70"/>
      <c r="H795" s="59"/>
      <c r="I795" s="24"/>
      <c r="J795" s="62"/>
      <c r="K795" s="65"/>
      <c r="L795" s="17"/>
      <c r="M795" s="54"/>
      <c r="N795" s="44"/>
      <c r="O795" s="45"/>
      <c r="P795" s="38"/>
      <c r="Q795" s="45"/>
      <c r="R795" s="38"/>
      <c r="S795" s="39"/>
      <c r="T795" s="32"/>
      <c r="U795" s="78"/>
      <c r="V795" s="81"/>
      <c r="W795" s="81"/>
      <c r="X795" s="81"/>
      <c r="Y795" s="84"/>
      <c r="Z795" s="34"/>
      <c r="AA795" s="29"/>
      <c r="AB795" s="29"/>
      <c r="AC795" s="97"/>
      <c r="AD795" s="100"/>
      <c r="AE795" s="102"/>
    </row>
    <row r="796" spans="1:31" ht="17.100000000000001" customHeight="1" x14ac:dyDescent="0.25">
      <c r="A796" s="51"/>
      <c r="B796" s="66"/>
      <c r="C796" s="68"/>
      <c r="D796" s="69"/>
      <c r="E796" s="70"/>
      <c r="F796" s="68"/>
      <c r="G796" s="70"/>
      <c r="H796" s="59"/>
      <c r="I796" s="27"/>
      <c r="J796" s="63"/>
      <c r="K796" s="71"/>
      <c r="L796" s="18"/>
      <c r="M796" s="66"/>
      <c r="N796" s="46"/>
      <c r="O796" s="47"/>
      <c r="P796" s="40"/>
      <c r="Q796" s="47"/>
      <c r="R796" s="40"/>
      <c r="S796" s="41"/>
      <c r="T796" s="31">
        <f>(P797-P794)+(R794-R797)</f>
        <v>0</v>
      </c>
      <c r="U796" s="78"/>
      <c r="V796" s="81"/>
      <c r="W796" s="81"/>
      <c r="X796" s="81"/>
      <c r="Y796" s="84"/>
      <c r="Z796" s="87"/>
      <c r="AA796" s="49"/>
      <c r="AB796" s="49"/>
      <c r="AC796" s="98"/>
      <c r="AD796" s="104"/>
      <c r="AE796" s="102"/>
    </row>
    <row r="797" spans="1:31" ht="17.100000000000001" customHeight="1" x14ac:dyDescent="0.25">
      <c r="A797" s="51"/>
      <c r="B797" s="54"/>
      <c r="C797" s="68"/>
      <c r="D797" s="69"/>
      <c r="E797" s="70"/>
      <c r="F797" s="68"/>
      <c r="G797" s="70"/>
      <c r="H797" s="59"/>
      <c r="I797" s="23"/>
      <c r="J797" s="88"/>
      <c r="K797" s="65"/>
      <c r="L797" s="18"/>
      <c r="M797" s="54"/>
      <c r="N797" s="90">
        <f>(P794-N794)+(P797-P794)+(R794-R797)</f>
        <v>0</v>
      </c>
      <c r="O797" s="91"/>
      <c r="P797" s="90"/>
      <c r="Q797" s="91"/>
      <c r="R797" s="90"/>
      <c r="S797" s="94"/>
      <c r="T797" s="32"/>
      <c r="U797" s="78"/>
      <c r="V797" s="81"/>
      <c r="W797" s="81"/>
      <c r="X797" s="81"/>
      <c r="Y797" s="84"/>
      <c r="Z797" s="34"/>
      <c r="AA797" s="28"/>
      <c r="AB797" s="28"/>
      <c r="AC797" s="97"/>
      <c r="AD797" s="100"/>
      <c r="AE797" s="102"/>
    </row>
    <row r="798" spans="1:31" ht="17.100000000000001" customHeight="1" x14ac:dyDescent="0.25">
      <c r="A798" s="51"/>
      <c r="B798" s="66"/>
      <c r="C798" s="68"/>
      <c r="D798" s="69"/>
      <c r="E798" s="70"/>
      <c r="F798" s="68"/>
      <c r="G798" s="70"/>
      <c r="H798" s="59"/>
      <c r="I798" s="24"/>
      <c r="J798" s="62"/>
      <c r="K798" s="71" t="s">
        <v>51</v>
      </c>
      <c r="L798" s="16" t="s">
        <v>51</v>
      </c>
      <c r="M798" s="66" t="s">
        <v>51</v>
      </c>
      <c r="N798" s="38"/>
      <c r="O798" s="45"/>
      <c r="P798" s="38"/>
      <c r="Q798" s="45"/>
      <c r="R798" s="38"/>
      <c r="S798" s="39"/>
      <c r="T798" s="31">
        <f t="shared" ref="T798" si="247">R797-P797</f>
        <v>0</v>
      </c>
      <c r="U798" s="78"/>
      <c r="V798" s="81"/>
      <c r="W798" s="81"/>
      <c r="X798" s="81"/>
      <c r="Y798" s="84"/>
      <c r="Z798" s="34"/>
      <c r="AA798" s="29"/>
      <c r="AB798" s="29"/>
      <c r="AC798" s="97"/>
      <c r="AD798" s="104"/>
      <c r="AE798" s="102"/>
    </row>
    <row r="799" spans="1:31" ht="17.100000000000001" customHeight="1" thickBot="1" x14ac:dyDescent="0.3">
      <c r="A799" s="52"/>
      <c r="B799" s="67"/>
      <c r="C799" s="73"/>
      <c r="D799" s="74"/>
      <c r="E799" s="75"/>
      <c r="F799" s="73"/>
      <c r="G799" s="75"/>
      <c r="H799" s="60"/>
      <c r="I799" s="25"/>
      <c r="J799" s="89"/>
      <c r="K799" s="72"/>
      <c r="L799" s="19" t="s">
        <v>52</v>
      </c>
      <c r="M799" s="67"/>
      <c r="N799" s="92"/>
      <c r="O799" s="93"/>
      <c r="P799" s="92"/>
      <c r="Q799" s="93"/>
      <c r="R799" s="92"/>
      <c r="S799" s="95"/>
      <c r="T799" s="33"/>
      <c r="U799" s="79"/>
      <c r="V799" s="82"/>
      <c r="W799" s="82"/>
      <c r="X799" s="82"/>
      <c r="Y799" s="85"/>
      <c r="Z799" s="35"/>
      <c r="AA799" s="30"/>
      <c r="AB799" s="30"/>
      <c r="AC799" s="105"/>
      <c r="AD799" s="106"/>
      <c r="AE799" s="103"/>
    </row>
    <row r="801" spans="1:31" ht="17.100000000000001" customHeight="1" thickBot="1" x14ac:dyDescent="0.3"/>
    <row r="802" spans="1:31" ht="17.100000000000001" customHeight="1" x14ac:dyDescent="0.25">
      <c r="A802" s="50">
        <v>46023</v>
      </c>
      <c r="B802" s="53"/>
      <c r="C802" s="55"/>
      <c r="D802" s="56"/>
      <c r="E802" s="57"/>
      <c r="F802" s="55"/>
      <c r="G802" s="57"/>
      <c r="H802" s="58"/>
      <c r="I802" s="26"/>
      <c r="J802" s="61"/>
      <c r="K802" s="64"/>
      <c r="L802" s="11"/>
      <c r="M802" s="53"/>
      <c r="N802" s="42"/>
      <c r="O802" s="43"/>
      <c r="P802" s="36"/>
      <c r="Q802" s="43"/>
      <c r="R802" s="36"/>
      <c r="S802" s="37"/>
      <c r="T802" s="76">
        <f t="shared" ref="T802" si="248">R802-P802</f>
        <v>0</v>
      </c>
      <c r="U802" s="77"/>
      <c r="V802" s="80"/>
      <c r="W802" s="80"/>
      <c r="X802" s="80"/>
      <c r="Y802" s="83"/>
      <c r="Z802" s="86"/>
      <c r="AA802" s="48"/>
      <c r="AB802" s="48"/>
      <c r="AC802" s="96"/>
      <c r="AD802" s="99"/>
      <c r="AE802" s="101"/>
    </row>
    <row r="803" spans="1:31" ht="17.100000000000001" customHeight="1" x14ac:dyDescent="0.25">
      <c r="A803" s="51"/>
      <c r="B803" s="54"/>
      <c r="C803" s="68"/>
      <c r="D803" s="69"/>
      <c r="E803" s="70"/>
      <c r="F803" s="68"/>
      <c r="G803" s="70"/>
      <c r="H803" s="59"/>
      <c r="I803" s="24"/>
      <c r="J803" s="62"/>
      <c r="K803" s="65"/>
      <c r="L803" s="17"/>
      <c r="M803" s="54"/>
      <c r="N803" s="44"/>
      <c r="O803" s="45"/>
      <c r="P803" s="38"/>
      <c r="Q803" s="45"/>
      <c r="R803" s="38"/>
      <c r="S803" s="39"/>
      <c r="T803" s="32"/>
      <c r="U803" s="78"/>
      <c r="V803" s="81"/>
      <c r="W803" s="81"/>
      <c r="X803" s="81"/>
      <c r="Y803" s="84"/>
      <c r="Z803" s="34"/>
      <c r="AA803" s="29"/>
      <c r="AB803" s="29"/>
      <c r="AC803" s="97"/>
      <c r="AD803" s="100"/>
      <c r="AE803" s="102"/>
    </row>
    <row r="804" spans="1:31" ht="17.100000000000001" customHeight="1" x14ac:dyDescent="0.25">
      <c r="A804" s="51"/>
      <c r="B804" s="66"/>
      <c r="C804" s="68"/>
      <c r="D804" s="69"/>
      <c r="E804" s="70"/>
      <c r="F804" s="68"/>
      <c r="G804" s="70"/>
      <c r="H804" s="59"/>
      <c r="I804" s="27"/>
      <c r="J804" s="63"/>
      <c r="K804" s="71"/>
      <c r="L804" s="18"/>
      <c r="M804" s="66"/>
      <c r="N804" s="46"/>
      <c r="O804" s="47"/>
      <c r="P804" s="40"/>
      <c r="Q804" s="47"/>
      <c r="R804" s="40"/>
      <c r="S804" s="41"/>
      <c r="T804" s="31">
        <f>(P805-P802)+(R802-R805)</f>
        <v>0</v>
      </c>
      <c r="U804" s="78"/>
      <c r="V804" s="81"/>
      <c r="W804" s="81"/>
      <c r="X804" s="81"/>
      <c r="Y804" s="84"/>
      <c r="Z804" s="87"/>
      <c r="AA804" s="49"/>
      <c r="AB804" s="49"/>
      <c r="AC804" s="98"/>
      <c r="AD804" s="104"/>
      <c r="AE804" s="102"/>
    </row>
    <row r="805" spans="1:31" ht="17.100000000000001" customHeight="1" x14ac:dyDescent="0.25">
      <c r="A805" s="51"/>
      <c r="B805" s="54"/>
      <c r="C805" s="68"/>
      <c r="D805" s="69"/>
      <c r="E805" s="70"/>
      <c r="F805" s="68"/>
      <c r="G805" s="70"/>
      <c r="H805" s="59"/>
      <c r="I805" s="23"/>
      <c r="J805" s="88"/>
      <c r="K805" s="65"/>
      <c r="L805" s="18"/>
      <c r="M805" s="54"/>
      <c r="N805" s="90">
        <f>(P802-N802)+(P805-P802)+(R802-R805)</f>
        <v>0</v>
      </c>
      <c r="O805" s="91"/>
      <c r="P805" s="90"/>
      <c r="Q805" s="91"/>
      <c r="R805" s="90"/>
      <c r="S805" s="94"/>
      <c r="T805" s="32"/>
      <c r="U805" s="78"/>
      <c r="V805" s="81"/>
      <c r="W805" s="81"/>
      <c r="X805" s="81"/>
      <c r="Y805" s="84"/>
      <c r="Z805" s="34"/>
      <c r="AA805" s="28"/>
      <c r="AB805" s="28"/>
      <c r="AC805" s="97"/>
      <c r="AD805" s="100"/>
      <c r="AE805" s="102"/>
    </row>
    <row r="806" spans="1:31" ht="17.100000000000001" customHeight="1" x14ac:dyDescent="0.25">
      <c r="A806" s="51"/>
      <c r="B806" s="66"/>
      <c r="C806" s="68"/>
      <c r="D806" s="69"/>
      <c r="E806" s="70"/>
      <c r="F806" s="68"/>
      <c r="G806" s="70"/>
      <c r="H806" s="59"/>
      <c r="I806" s="24"/>
      <c r="J806" s="62"/>
      <c r="K806" s="71" t="s">
        <v>51</v>
      </c>
      <c r="L806" s="16" t="s">
        <v>51</v>
      </c>
      <c r="M806" s="66" t="s">
        <v>51</v>
      </c>
      <c r="N806" s="38"/>
      <c r="O806" s="45"/>
      <c r="P806" s="38"/>
      <c r="Q806" s="45"/>
      <c r="R806" s="38"/>
      <c r="S806" s="39"/>
      <c r="T806" s="31">
        <f t="shared" ref="T806" si="249">R805-P805</f>
        <v>0</v>
      </c>
      <c r="U806" s="78"/>
      <c r="V806" s="81"/>
      <c r="W806" s="81"/>
      <c r="X806" s="81"/>
      <c r="Y806" s="84"/>
      <c r="Z806" s="34"/>
      <c r="AA806" s="29"/>
      <c r="AB806" s="29"/>
      <c r="AC806" s="97"/>
      <c r="AD806" s="104"/>
      <c r="AE806" s="102"/>
    </row>
    <row r="807" spans="1:31" ht="17.100000000000001" customHeight="1" thickBot="1" x14ac:dyDescent="0.3">
      <c r="A807" s="52"/>
      <c r="B807" s="67"/>
      <c r="C807" s="73"/>
      <c r="D807" s="74"/>
      <c r="E807" s="75"/>
      <c r="F807" s="73"/>
      <c r="G807" s="75"/>
      <c r="H807" s="60"/>
      <c r="I807" s="25"/>
      <c r="J807" s="89"/>
      <c r="K807" s="72"/>
      <c r="L807" s="19" t="s">
        <v>52</v>
      </c>
      <c r="M807" s="67"/>
      <c r="N807" s="92"/>
      <c r="O807" s="93"/>
      <c r="P807" s="92"/>
      <c r="Q807" s="93"/>
      <c r="R807" s="92"/>
      <c r="S807" s="95"/>
      <c r="T807" s="33"/>
      <c r="U807" s="79"/>
      <c r="V807" s="82"/>
      <c r="W807" s="82"/>
      <c r="X807" s="82"/>
      <c r="Y807" s="85"/>
      <c r="Z807" s="35"/>
      <c r="AA807" s="30"/>
      <c r="AB807" s="30"/>
      <c r="AC807" s="105"/>
      <c r="AD807" s="106"/>
      <c r="AE807" s="103"/>
    </row>
    <row r="808" spans="1:31" ht="17.100000000000001" customHeight="1" x14ac:dyDescent="0.25">
      <c r="A808" s="50">
        <v>46023</v>
      </c>
      <c r="B808" s="53"/>
      <c r="C808" s="55"/>
      <c r="D808" s="56"/>
      <c r="E808" s="57"/>
      <c r="F808" s="55"/>
      <c r="G808" s="57"/>
      <c r="H808" s="58"/>
      <c r="I808" s="26"/>
      <c r="J808" s="61"/>
      <c r="K808" s="64"/>
      <c r="L808" s="11"/>
      <c r="M808" s="53"/>
      <c r="N808" s="42"/>
      <c r="O808" s="43"/>
      <c r="P808" s="36"/>
      <c r="Q808" s="43"/>
      <c r="R808" s="36"/>
      <c r="S808" s="37"/>
      <c r="T808" s="76">
        <f t="shared" ref="T808" si="250">R808-P808</f>
        <v>0</v>
      </c>
      <c r="U808" s="77"/>
      <c r="V808" s="80"/>
      <c r="W808" s="80"/>
      <c r="X808" s="80"/>
      <c r="Y808" s="83"/>
      <c r="Z808" s="86"/>
      <c r="AA808" s="48"/>
      <c r="AB808" s="48"/>
      <c r="AC808" s="96"/>
      <c r="AD808" s="99"/>
      <c r="AE808" s="101"/>
    </row>
    <row r="809" spans="1:31" ht="17.100000000000001" customHeight="1" x14ac:dyDescent="0.25">
      <c r="A809" s="51"/>
      <c r="B809" s="54"/>
      <c r="C809" s="68"/>
      <c r="D809" s="69"/>
      <c r="E809" s="70"/>
      <c r="F809" s="68"/>
      <c r="G809" s="70"/>
      <c r="H809" s="59"/>
      <c r="I809" s="24"/>
      <c r="J809" s="62"/>
      <c r="K809" s="65"/>
      <c r="L809" s="17"/>
      <c r="M809" s="54"/>
      <c r="N809" s="44"/>
      <c r="O809" s="45"/>
      <c r="P809" s="38"/>
      <c r="Q809" s="45"/>
      <c r="R809" s="38"/>
      <c r="S809" s="39"/>
      <c r="T809" s="32"/>
      <c r="U809" s="78"/>
      <c r="V809" s="81"/>
      <c r="W809" s="81"/>
      <c r="X809" s="81"/>
      <c r="Y809" s="84"/>
      <c r="Z809" s="34"/>
      <c r="AA809" s="29"/>
      <c r="AB809" s="29"/>
      <c r="AC809" s="97"/>
      <c r="AD809" s="100"/>
      <c r="AE809" s="102"/>
    </row>
    <row r="810" spans="1:31" ht="17.100000000000001" customHeight="1" x14ac:dyDescent="0.25">
      <c r="A810" s="51"/>
      <c r="B810" s="66"/>
      <c r="C810" s="68"/>
      <c r="D810" s="69"/>
      <c r="E810" s="70"/>
      <c r="F810" s="68"/>
      <c r="G810" s="70"/>
      <c r="H810" s="59"/>
      <c r="I810" s="27"/>
      <c r="J810" s="63"/>
      <c r="K810" s="71"/>
      <c r="L810" s="18"/>
      <c r="M810" s="66"/>
      <c r="N810" s="46"/>
      <c r="O810" s="47"/>
      <c r="P810" s="40"/>
      <c r="Q810" s="47"/>
      <c r="R810" s="40"/>
      <c r="S810" s="41"/>
      <c r="T810" s="31">
        <f>(P811-P808)+(R808-R811)</f>
        <v>0</v>
      </c>
      <c r="U810" s="78"/>
      <c r="V810" s="81"/>
      <c r="W810" s="81"/>
      <c r="X810" s="81"/>
      <c r="Y810" s="84"/>
      <c r="Z810" s="87"/>
      <c r="AA810" s="49"/>
      <c r="AB810" s="49"/>
      <c r="AC810" s="98"/>
      <c r="AD810" s="104"/>
      <c r="AE810" s="102"/>
    </row>
    <row r="811" spans="1:31" ht="17.100000000000001" customHeight="1" x14ac:dyDescent="0.25">
      <c r="A811" s="51"/>
      <c r="B811" s="54"/>
      <c r="C811" s="68"/>
      <c r="D811" s="69"/>
      <c r="E811" s="70"/>
      <c r="F811" s="68"/>
      <c r="G811" s="70"/>
      <c r="H811" s="59"/>
      <c r="I811" s="23"/>
      <c r="J811" s="88"/>
      <c r="K811" s="65"/>
      <c r="L811" s="18"/>
      <c r="M811" s="54"/>
      <c r="N811" s="90">
        <f>(P808-N808)+(P811-P808)+(R808-R811)</f>
        <v>0</v>
      </c>
      <c r="O811" s="91"/>
      <c r="P811" s="90"/>
      <c r="Q811" s="91"/>
      <c r="R811" s="90"/>
      <c r="S811" s="94"/>
      <c r="T811" s="32"/>
      <c r="U811" s="78"/>
      <c r="V811" s="81"/>
      <c r="W811" s="81"/>
      <c r="X811" s="81"/>
      <c r="Y811" s="84"/>
      <c r="Z811" s="34"/>
      <c r="AA811" s="28"/>
      <c r="AB811" s="28"/>
      <c r="AC811" s="97"/>
      <c r="AD811" s="100"/>
      <c r="AE811" s="102"/>
    </row>
    <row r="812" spans="1:31" ht="17.100000000000001" customHeight="1" x14ac:dyDescent="0.25">
      <c r="A812" s="51"/>
      <c r="B812" s="66"/>
      <c r="C812" s="68"/>
      <c r="D812" s="69"/>
      <c r="E812" s="70"/>
      <c r="F812" s="68"/>
      <c r="G812" s="70"/>
      <c r="H812" s="59"/>
      <c r="I812" s="24"/>
      <c r="J812" s="62"/>
      <c r="K812" s="71" t="s">
        <v>51</v>
      </c>
      <c r="L812" s="16" t="s">
        <v>51</v>
      </c>
      <c r="M812" s="66" t="s">
        <v>51</v>
      </c>
      <c r="N812" s="38"/>
      <c r="O812" s="45"/>
      <c r="P812" s="38"/>
      <c r="Q812" s="45"/>
      <c r="R812" s="38"/>
      <c r="S812" s="39"/>
      <c r="T812" s="31">
        <f t="shared" ref="T812" si="251">R811-P811</f>
        <v>0</v>
      </c>
      <c r="U812" s="78"/>
      <c r="V812" s="81"/>
      <c r="W812" s="81"/>
      <c r="X812" s="81"/>
      <c r="Y812" s="84"/>
      <c r="Z812" s="34"/>
      <c r="AA812" s="29"/>
      <c r="AB812" s="29"/>
      <c r="AC812" s="97"/>
      <c r="AD812" s="104"/>
      <c r="AE812" s="102"/>
    </row>
    <row r="813" spans="1:31" ht="17.100000000000001" customHeight="1" thickBot="1" x14ac:dyDescent="0.3">
      <c r="A813" s="52"/>
      <c r="B813" s="67"/>
      <c r="C813" s="73"/>
      <c r="D813" s="74"/>
      <c r="E813" s="75"/>
      <c r="F813" s="73"/>
      <c r="G813" s="75"/>
      <c r="H813" s="60"/>
      <c r="I813" s="25"/>
      <c r="J813" s="89"/>
      <c r="K813" s="72"/>
      <c r="L813" s="19" t="s">
        <v>52</v>
      </c>
      <c r="M813" s="67"/>
      <c r="N813" s="92"/>
      <c r="O813" s="93"/>
      <c r="P813" s="92"/>
      <c r="Q813" s="93"/>
      <c r="R813" s="92"/>
      <c r="S813" s="95"/>
      <c r="T813" s="33"/>
      <c r="U813" s="79"/>
      <c r="V813" s="82"/>
      <c r="W813" s="82"/>
      <c r="X813" s="82"/>
      <c r="Y813" s="85"/>
      <c r="Z813" s="35"/>
      <c r="AA813" s="30"/>
      <c r="AB813" s="30"/>
      <c r="AC813" s="105"/>
      <c r="AD813" s="106"/>
      <c r="AE813" s="103"/>
    </row>
    <row r="814" spans="1:31" ht="17.100000000000001" customHeight="1" x14ac:dyDescent="0.25">
      <c r="A814" s="50">
        <v>46023</v>
      </c>
      <c r="B814" s="53"/>
      <c r="C814" s="55"/>
      <c r="D814" s="56"/>
      <c r="E814" s="57"/>
      <c r="F814" s="55"/>
      <c r="G814" s="57"/>
      <c r="H814" s="58"/>
      <c r="I814" s="26"/>
      <c r="J814" s="61"/>
      <c r="K814" s="64"/>
      <c r="L814" s="11"/>
      <c r="M814" s="53"/>
      <c r="N814" s="42"/>
      <c r="O814" s="43"/>
      <c r="P814" s="36"/>
      <c r="Q814" s="43"/>
      <c r="R814" s="36"/>
      <c r="S814" s="37"/>
      <c r="T814" s="76">
        <f t="shared" ref="T814" si="252">R814-P814</f>
        <v>0</v>
      </c>
      <c r="U814" s="77"/>
      <c r="V814" s="80"/>
      <c r="W814" s="80"/>
      <c r="X814" s="80"/>
      <c r="Y814" s="83"/>
      <c r="Z814" s="86"/>
      <c r="AA814" s="48"/>
      <c r="AB814" s="48"/>
      <c r="AC814" s="96"/>
      <c r="AD814" s="99"/>
      <c r="AE814" s="101"/>
    </row>
    <row r="815" spans="1:31" ht="17.100000000000001" customHeight="1" x14ac:dyDescent="0.25">
      <c r="A815" s="51"/>
      <c r="B815" s="54"/>
      <c r="C815" s="68"/>
      <c r="D815" s="69"/>
      <c r="E815" s="70"/>
      <c r="F815" s="68"/>
      <c r="G815" s="70"/>
      <c r="H815" s="59"/>
      <c r="I815" s="24"/>
      <c r="J815" s="62"/>
      <c r="K815" s="65"/>
      <c r="L815" s="17"/>
      <c r="M815" s="54"/>
      <c r="N815" s="44"/>
      <c r="O815" s="45"/>
      <c r="P815" s="38"/>
      <c r="Q815" s="45"/>
      <c r="R815" s="38"/>
      <c r="S815" s="39"/>
      <c r="T815" s="32"/>
      <c r="U815" s="78"/>
      <c r="V815" s="81"/>
      <c r="W815" s="81"/>
      <c r="X815" s="81"/>
      <c r="Y815" s="84"/>
      <c r="Z815" s="34"/>
      <c r="AA815" s="29"/>
      <c r="AB815" s="29"/>
      <c r="AC815" s="97"/>
      <c r="AD815" s="100"/>
      <c r="AE815" s="102"/>
    </row>
    <row r="816" spans="1:31" ht="17.100000000000001" customHeight="1" x14ac:dyDescent="0.25">
      <c r="A816" s="51"/>
      <c r="B816" s="66"/>
      <c r="C816" s="68"/>
      <c r="D816" s="69"/>
      <c r="E816" s="70"/>
      <c r="F816" s="68"/>
      <c r="G816" s="70"/>
      <c r="H816" s="59"/>
      <c r="I816" s="27"/>
      <c r="J816" s="63"/>
      <c r="K816" s="71"/>
      <c r="L816" s="18"/>
      <c r="M816" s="66"/>
      <c r="N816" s="46"/>
      <c r="O816" s="47"/>
      <c r="P816" s="40"/>
      <c r="Q816" s="47"/>
      <c r="R816" s="40"/>
      <c r="S816" s="41"/>
      <c r="T816" s="31">
        <f>(P817-P814)+(R814-R817)</f>
        <v>0</v>
      </c>
      <c r="U816" s="78"/>
      <c r="V816" s="81"/>
      <c r="W816" s="81"/>
      <c r="X816" s="81"/>
      <c r="Y816" s="84"/>
      <c r="Z816" s="87"/>
      <c r="AA816" s="49"/>
      <c r="AB816" s="49"/>
      <c r="AC816" s="98"/>
      <c r="AD816" s="104"/>
      <c r="AE816" s="102"/>
    </row>
    <row r="817" spans="1:31" ht="17.100000000000001" customHeight="1" x14ac:dyDescent="0.25">
      <c r="A817" s="51"/>
      <c r="B817" s="54"/>
      <c r="C817" s="68"/>
      <c r="D817" s="69"/>
      <c r="E817" s="70"/>
      <c r="F817" s="68"/>
      <c r="G817" s="70"/>
      <c r="H817" s="59"/>
      <c r="I817" s="23"/>
      <c r="J817" s="88"/>
      <c r="K817" s="65"/>
      <c r="L817" s="18"/>
      <c r="M817" s="54"/>
      <c r="N817" s="90">
        <f>(P814-N814)+(P817-P814)+(R814-R817)</f>
        <v>0</v>
      </c>
      <c r="O817" s="91"/>
      <c r="P817" s="90"/>
      <c r="Q817" s="91"/>
      <c r="R817" s="90"/>
      <c r="S817" s="94"/>
      <c r="T817" s="32"/>
      <c r="U817" s="78"/>
      <c r="V817" s="81"/>
      <c r="W817" s="81"/>
      <c r="X817" s="81"/>
      <c r="Y817" s="84"/>
      <c r="Z817" s="34"/>
      <c r="AA817" s="28"/>
      <c r="AB817" s="28"/>
      <c r="AC817" s="97"/>
      <c r="AD817" s="100"/>
      <c r="AE817" s="102"/>
    </row>
    <row r="818" spans="1:31" ht="17.100000000000001" customHeight="1" x14ac:dyDescent="0.25">
      <c r="A818" s="51"/>
      <c r="B818" s="66"/>
      <c r="C818" s="68"/>
      <c r="D818" s="69"/>
      <c r="E818" s="70"/>
      <c r="F818" s="68"/>
      <c r="G818" s="70"/>
      <c r="H818" s="59"/>
      <c r="I818" s="24"/>
      <c r="J818" s="62"/>
      <c r="K818" s="71" t="s">
        <v>51</v>
      </c>
      <c r="L818" s="16" t="s">
        <v>51</v>
      </c>
      <c r="M818" s="66" t="s">
        <v>51</v>
      </c>
      <c r="N818" s="38"/>
      <c r="O818" s="45"/>
      <c r="P818" s="38"/>
      <c r="Q818" s="45"/>
      <c r="R818" s="38"/>
      <c r="S818" s="39"/>
      <c r="T818" s="31">
        <f t="shared" ref="T818" si="253">R817-P817</f>
        <v>0</v>
      </c>
      <c r="U818" s="78"/>
      <c r="V818" s="81"/>
      <c r="W818" s="81"/>
      <c r="X818" s="81"/>
      <c r="Y818" s="84"/>
      <c r="Z818" s="34"/>
      <c r="AA818" s="29"/>
      <c r="AB818" s="29"/>
      <c r="AC818" s="97"/>
      <c r="AD818" s="104"/>
      <c r="AE818" s="102"/>
    </row>
    <row r="819" spans="1:31" ht="17.100000000000001" customHeight="1" thickBot="1" x14ac:dyDescent="0.3">
      <c r="A819" s="52"/>
      <c r="B819" s="67"/>
      <c r="C819" s="73"/>
      <c r="D819" s="74"/>
      <c r="E819" s="75"/>
      <c r="F819" s="73"/>
      <c r="G819" s="75"/>
      <c r="H819" s="60"/>
      <c r="I819" s="25"/>
      <c r="J819" s="89"/>
      <c r="K819" s="72"/>
      <c r="L819" s="19" t="s">
        <v>52</v>
      </c>
      <c r="M819" s="67"/>
      <c r="N819" s="92"/>
      <c r="O819" s="93"/>
      <c r="P819" s="92"/>
      <c r="Q819" s="93"/>
      <c r="R819" s="92"/>
      <c r="S819" s="95"/>
      <c r="T819" s="33"/>
      <c r="U819" s="79"/>
      <c r="V819" s="82"/>
      <c r="W819" s="82"/>
      <c r="X819" s="82"/>
      <c r="Y819" s="85"/>
      <c r="Z819" s="35"/>
      <c r="AA819" s="30"/>
      <c r="AB819" s="30"/>
      <c r="AC819" s="105"/>
      <c r="AD819" s="106"/>
      <c r="AE819" s="103"/>
    </row>
    <row r="820" spans="1:31" ht="17.100000000000001" customHeight="1" x14ac:dyDescent="0.25">
      <c r="A820" s="50">
        <v>46023</v>
      </c>
      <c r="B820" s="53"/>
      <c r="C820" s="55"/>
      <c r="D820" s="56"/>
      <c r="E820" s="57"/>
      <c r="F820" s="55"/>
      <c r="G820" s="57"/>
      <c r="H820" s="58"/>
      <c r="I820" s="26"/>
      <c r="J820" s="61"/>
      <c r="K820" s="64"/>
      <c r="L820" s="11"/>
      <c r="M820" s="53"/>
      <c r="N820" s="42"/>
      <c r="O820" s="43"/>
      <c r="P820" s="36"/>
      <c r="Q820" s="43"/>
      <c r="R820" s="36"/>
      <c r="S820" s="37"/>
      <c r="T820" s="76">
        <f t="shared" ref="T820" si="254">R820-P820</f>
        <v>0</v>
      </c>
      <c r="U820" s="77"/>
      <c r="V820" s="80"/>
      <c r="W820" s="80"/>
      <c r="X820" s="80"/>
      <c r="Y820" s="83"/>
      <c r="Z820" s="86"/>
      <c r="AA820" s="48"/>
      <c r="AB820" s="48"/>
      <c r="AC820" s="96"/>
      <c r="AD820" s="99"/>
      <c r="AE820" s="101"/>
    </row>
    <row r="821" spans="1:31" ht="17.100000000000001" customHeight="1" x14ac:dyDescent="0.25">
      <c r="A821" s="51"/>
      <c r="B821" s="54"/>
      <c r="C821" s="68"/>
      <c r="D821" s="69"/>
      <c r="E821" s="70"/>
      <c r="F821" s="68"/>
      <c r="G821" s="70"/>
      <c r="H821" s="59"/>
      <c r="I821" s="24"/>
      <c r="J821" s="62"/>
      <c r="K821" s="65"/>
      <c r="L821" s="17"/>
      <c r="M821" s="54"/>
      <c r="N821" s="44"/>
      <c r="O821" s="45"/>
      <c r="P821" s="38"/>
      <c r="Q821" s="45"/>
      <c r="R821" s="38"/>
      <c r="S821" s="39"/>
      <c r="T821" s="32"/>
      <c r="U821" s="78"/>
      <c r="V821" s="81"/>
      <c r="W821" s="81"/>
      <c r="X821" s="81"/>
      <c r="Y821" s="84"/>
      <c r="Z821" s="34"/>
      <c r="AA821" s="29"/>
      <c r="AB821" s="29"/>
      <c r="AC821" s="97"/>
      <c r="AD821" s="100"/>
      <c r="AE821" s="102"/>
    </row>
    <row r="822" spans="1:31" ht="17.100000000000001" customHeight="1" x14ac:dyDescent="0.25">
      <c r="A822" s="51"/>
      <c r="B822" s="66"/>
      <c r="C822" s="68"/>
      <c r="D822" s="69"/>
      <c r="E822" s="70"/>
      <c r="F822" s="68"/>
      <c r="G822" s="70"/>
      <c r="H822" s="59"/>
      <c r="I822" s="27"/>
      <c r="J822" s="63"/>
      <c r="K822" s="71"/>
      <c r="L822" s="18"/>
      <c r="M822" s="66"/>
      <c r="N822" s="46"/>
      <c r="O822" s="47"/>
      <c r="P822" s="40"/>
      <c r="Q822" s="47"/>
      <c r="R822" s="40"/>
      <c r="S822" s="41"/>
      <c r="T822" s="31">
        <f>(P823-P820)+(R820-R823)</f>
        <v>0</v>
      </c>
      <c r="U822" s="78"/>
      <c r="V822" s="81"/>
      <c r="W822" s="81"/>
      <c r="X822" s="81"/>
      <c r="Y822" s="84"/>
      <c r="Z822" s="87"/>
      <c r="AA822" s="49"/>
      <c r="AB822" s="49"/>
      <c r="AC822" s="98"/>
      <c r="AD822" s="104"/>
      <c r="AE822" s="102"/>
    </row>
    <row r="823" spans="1:31" ht="17.100000000000001" customHeight="1" x14ac:dyDescent="0.25">
      <c r="A823" s="51"/>
      <c r="B823" s="54"/>
      <c r="C823" s="68"/>
      <c r="D823" s="69"/>
      <c r="E823" s="70"/>
      <c r="F823" s="68"/>
      <c r="G823" s="70"/>
      <c r="H823" s="59"/>
      <c r="I823" s="23"/>
      <c r="J823" s="88"/>
      <c r="K823" s="65"/>
      <c r="L823" s="18"/>
      <c r="M823" s="54"/>
      <c r="N823" s="90">
        <f>(P820-N820)+(P823-P820)+(R820-R823)</f>
        <v>0</v>
      </c>
      <c r="O823" s="91"/>
      <c r="P823" s="90"/>
      <c r="Q823" s="91"/>
      <c r="R823" s="90"/>
      <c r="S823" s="94"/>
      <c r="T823" s="32"/>
      <c r="U823" s="78"/>
      <c r="V823" s="81"/>
      <c r="W823" s="81"/>
      <c r="X823" s="81"/>
      <c r="Y823" s="84"/>
      <c r="Z823" s="34"/>
      <c r="AA823" s="28"/>
      <c r="AB823" s="28"/>
      <c r="AC823" s="97"/>
      <c r="AD823" s="100"/>
      <c r="AE823" s="102"/>
    </row>
    <row r="824" spans="1:31" ht="17.100000000000001" customHeight="1" x14ac:dyDescent="0.25">
      <c r="A824" s="51"/>
      <c r="B824" s="66"/>
      <c r="C824" s="68"/>
      <c r="D824" s="69"/>
      <c r="E824" s="70"/>
      <c r="F824" s="68"/>
      <c r="G824" s="70"/>
      <c r="H824" s="59"/>
      <c r="I824" s="24"/>
      <c r="J824" s="62"/>
      <c r="K824" s="71" t="s">
        <v>51</v>
      </c>
      <c r="L824" s="16" t="s">
        <v>51</v>
      </c>
      <c r="M824" s="66" t="s">
        <v>51</v>
      </c>
      <c r="N824" s="38"/>
      <c r="O824" s="45"/>
      <c r="P824" s="38"/>
      <c r="Q824" s="45"/>
      <c r="R824" s="38"/>
      <c r="S824" s="39"/>
      <c r="T824" s="31">
        <f t="shared" ref="T824" si="255">R823-P823</f>
        <v>0</v>
      </c>
      <c r="U824" s="78"/>
      <c r="V824" s="81"/>
      <c r="W824" s="81"/>
      <c r="X824" s="81"/>
      <c r="Y824" s="84"/>
      <c r="Z824" s="34"/>
      <c r="AA824" s="29"/>
      <c r="AB824" s="29"/>
      <c r="AC824" s="97"/>
      <c r="AD824" s="104"/>
      <c r="AE824" s="102"/>
    </row>
    <row r="825" spans="1:31" ht="17.100000000000001" customHeight="1" thickBot="1" x14ac:dyDescent="0.3">
      <c r="A825" s="52"/>
      <c r="B825" s="67"/>
      <c r="C825" s="73"/>
      <c r="D825" s="74"/>
      <c r="E825" s="75"/>
      <c r="F825" s="73"/>
      <c r="G825" s="75"/>
      <c r="H825" s="60"/>
      <c r="I825" s="25"/>
      <c r="J825" s="89"/>
      <c r="K825" s="72"/>
      <c r="L825" s="19" t="s">
        <v>52</v>
      </c>
      <c r="M825" s="67"/>
      <c r="N825" s="92"/>
      <c r="O825" s="93"/>
      <c r="P825" s="92"/>
      <c r="Q825" s="93"/>
      <c r="R825" s="92"/>
      <c r="S825" s="95"/>
      <c r="T825" s="33"/>
      <c r="U825" s="79"/>
      <c r="V825" s="82"/>
      <c r="W825" s="82"/>
      <c r="X825" s="82"/>
      <c r="Y825" s="85"/>
      <c r="Z825" s="35"/>
      <c r="AA825" s="30"/>
      <c r="AB825" s="30"/>
      <c r="AC825" s="105"/>
      <c r="AD825" s="106"/>
      <c r="AE825" s="103"/>
    </row>
    <row r="826" spans="1:31" ht="17.100000000000001" customHeight="1" x14ac:dyDescent="0.25">
      <c r="A826" s="50">
        <v>46023</v>
      </c>
      <c r="B826" s="53"/>
      <c r="C826" s="55"/>
      <c r="D826" s="56"/>
      <c r="E826" s="57"/>
      <c r="F826" s="55"/>
      <c r="G826" s="57"/>
      <c r="H826" s="58"/>
      <c r="I826" s="26"/>
      <c r="J826" s="61"/>
      <c r="K826" s="64"/>
      <c r="L826" s="11"/>
      <c r="M826" s="53"/>
      <c r="N826" s="42"/>
      <c r="O826" s="43"/>
      <c r="P826" s="36"/>
      <c r="Q826" s="43"/>
      <c r="R826" s="36"/>
      <c r="S826" s="37"/>
      <c r="T826" s="76">
        <f t="shared" ref="T826" si="256">R826-P826</f>
        <v>0</v>
      </c>
      <c r="U826" s="77"/>
      <c r="V826" s="80"/>
      <c r="W826" s="80"/>
      <c r="X826" s="80"/>
      <c r="Y826" s="83"/>
      <c r="Z826" s="86"/>
      <c r="AA826" s="48"/>
      <c r="AB826" s="48"/>
      <c r="AC826" s="96"/>
      <c r="AD826" s="99"/>
      <c r="AE826" s="101"/>
    </row>
    <row r="827" spans="1:31" ht="17.100000000000001" customHeight="1" x14ac:dyDescent="0.25">
      <c r="A827" s="51"/>
      <c r="B827" s="54"/>
      <c r="C827" s="68"/>
      <c r="D827" s="69"/>
      <c r="E827" s="70"/>
      <c r="F827" s="68"/>
      <c r="G827" s="70"/>
      <c r="H827" s="59"/>
      <c r="I827" s="24"/>
      <c r="J827" s="62"/>
      <c r="K827" s="65"/>
      <c r="L827" s="17"/>
      <c r="M827" s="54"/>
      <c r="N827" s="44"/>
      <c r="O827" s="45"/>
      <c r="P827" s="38"/>
      <c r="Q827" s="45"/>
      <c r="R827" s="38"/>
      <c r="S827" s="39"/>
      <c r="T827" s="32"/>
      <c r="U827" s="78"/>
      <c r="V827" s="81"/>
      <c r="W827" s="81"/>
      <c r="X827" s="81"/>
      <c r="Y827" s="84"/>
      <c r="Z827" s="34"/>
      <c r="AA827" s="29"/>
      <c r="AB827" s="29"/>
      <c r="AC827" s="97"/>
      <c r="AD827" s="100"/>
      <c r="AE827" s="102"/>
    </row>
    <row r="828" spans="1:31" ht="17.100000000000001" customHeight="1" x14ac:dyDescent="0.25">
      <c r="A828" s="51"/>
      <c r="B828" s="66"/>
      <c r="C828" s="68"/>
      <c r="D828" s="69"/>
      <c r="E828" s="70"/>
      <c r="F828" s="68"/>
      <c r="G828" s="70"/>
      <c r="H828" s="59"/>
      <c r="I828" s="27"/>
      <c r="J828" s="63"/>
      <c r="K828" s="71"/>
      <c r="L828" s="18"/>
      <c r="M828" s="66"/>
      <c r="N828" s="46"/>
      <c r="O828" s="47"/>
      <c r="P828" s="40"/>
      <c r="Q828" s="47"/>
      <c r="R828" s="40"/>
      <c r="S828" s="41"/>
      <c r="T828" s="31">
        <f>(P829-P826)+(R826-R829)</f>
        <v>0</v>
      </c>
      <c r="U828" s="78"/>
      <c r="V828" s="81"/>
      <c r="W828" s="81"/>
      <c r="X828" s="81"/>
      <c r="Y828" s="84"/>
      <c r="Z828" s="87"/>
      <c r="AA828" s="49"/>
      <c r="AB828" s="49"/>
      <c r="AC828" s="98"/>
      <c r="AD828" s="104"/>
      <c r="AE828" s="102"/>
    </row>
    <row r="829" spans="1:31" ht="17.100000000000001" customHeight="1" x14ac:dyDescent="0.25">
      <c r="A829" s="51"/>
      <c r="B829" s="54"/>
      <c r="C829" s="68"/>
      <c r="D829" s="69"/>
      <c r="E829" s="70"/>
      <c r="F829" s="68"/>
      <c r="G829" s="70"/>
      <c r="H829" s="59"/>
      <c r="I829" s="23"/>
      <c r="J829" s="88"/>
      <c r="K829" s="65"/>
      <c r="L829" s="18"/>
      <c r="M829" s="54"/>
      <c r="N829" s="90">
        <f>(P826-N826)+(P829-P826)+(R826-R829)</f>
        <v>0</v>
      </c>
      <c r="O829" s="91"/>
      <c r="P829" s="90"/>
      <c r="Q829" s="91"/>
      <c r="R829" s="90"/>
      <c r="S829" s="94"/>
      <c r="T829" s="32"/>
      <c r="U829" s="78"/>
      <c r="V829" s="81"/>
      <c r="W829" s="81"/>
      <c r="X829" s="81"/>
      <c r="Y829" s="84"/>
      <c r="Z829" s="34"/>
      <c r="AA829" s="28"/>
      <c r="AB829" s="28"/>
      <c r="AC829" s="97"/>
      <c r="AD829" s="100"/>
      <c r="AE829" s="102"/>
    </row>
    <row r="830" spans="1:31" ht="17.100000000000001" customHeight="1" x14ac:dyDescent="0.25">
      <c r="A830" s="51"/>
      <c r="B830" s="66"/>
      <c r="C830" s="68"/>
      <c r="D830" s="69"/>
      <c r="E830" s="70"/>
      <c r="F830" s="68"/>
      <c r="G830" s="70"/>
      <c r="H830" s="59"/>
      <c r="I830" s="24"/>
      <c r="J830" s="62"/>
      <c r="K830" s="71" t="s">
        <v>51</v>
      </c>
      <c r="L830" s="16" t="s">
        <v>51</v>
      </c>
      <c r="M830" s="66" t="s">
        <v>51</v>
      </c>
      <c r="N830" s="38"/>
      <c r="O830" s="45"/>
      <c r="P830" s="38"/>
      <c r="Q830" s="45"/>
      <c r="R830" s="38"/>
      <c r="S830" s="39"/>
      <c r="T830" s="31">
        <f t="shared" ref="T830" si="257">R829-P829</f>
        <v>0</v>
      </c>
      <c r="U830" s="78"/>
      <c r="V830" s="81"/>
      <c r="W830" s="81"/>
      <c r="X830" s="81"/>
      <c r="Y830" s="84"/>
      <c r="Z830" s="34"/>
      <c r="AA830" s="29"/>
      <c r="AB830" s="29"/>
      <c r="AC830" s="97"/>
      <c r="AD830" s="104"/>
      <c r="AE830" s="102"/>
    </row>
    <row r="831" spans="1:31" ht="17.100000000000001" customHeight="1" thickBot="1" x14ac:dyDescent="0.3">
      <c r="A831" s="52"/>
      <c r="B831" s="67"/>
      <c r="C831" s="73"/>
      <c r="D831" s="74"/>
      <c r="E831" s="75"/>
      <c r="F831" s="73"/>
      <c r="G831" s="75"/>
      <c r="H831" s="60"/>
      <c r="I831" s="25"/>
      <c r="J831" s="89"/>
      <c r="K831" s="72"/>
      <c r="L831" s="19" t="s">
        <v>52</v>
      </c>
      <c r="M831" s="67"/>
      <c r="N831" s="92"/>
      <c r="O831" s="93"/>
      <c r="P831" s="92"/>
      <c r="Q831" s="93"/>
      <c r="R831" s="92"/>
      <c r="S831" s="95"/>
      <c r="T831" s="33"/>
      <c r="U831" s="79"/>
      <c r="V831" s="82"/>
      <c r="W831" s="82"/>
      <c r="X831" s="82"/>
      <c r="Y831" s="85"/>
      <c r="Z831" s="35"/>
      <c r="AA831" s="30"/>
      <c r="AB831" s="30"/>
      <c r="AC831" s="105"/>
      <c r="AD831" s="106"/>
      <c r="AE831" s="103"/>
    </row>
    <row r="833" spans="1:31" ht="17.100000000000001" customHeight="1" thickBot="1" x14ac:dyDescent="0.3"/>
    <row r="834" spans="1:31" ht="17.100000000000001" customHeight="1" x14ac:dyDescent="0.25">
      <c r="A834" s="50">
        <v>46023</v>
      </c>
      <c r="B834" s="53"/>
      <c r="C834" s="55"/>
      <c r="D834" s="56"/>
      <c r="E834" s="57"/>
      <c r="F834" s="55"/>
      <c r="G834" s="57"/>
      <c r="H834" s="58"/>
      <c r="I834" s="26"/>
      <c r="J834" s="61"/>
      <c r="K834" s="64"/>
      <c r="L834" s="11"/>
      <c r="M834" s="53"/>
      <c r="N834" s="42"/>
      <c r="O834" s="43"/>
      <c r="P834" s="36"/>
      <c r="Q834" s="43"/>
      <c r="R834" s="36"/>
      <c r="S834" s="37"/>
      <c r="T834" s="76">
        <f t="shared" ref="T834" si="258">R834-P834</f>
        <v>0</v>
      </c>
      <c r="U834" s="77"/>
      <c r="V834" s="80"/>
      <c r="W834" s="80"/>
      <c r="X834" s="80"/>
      <c r="Y834" s="83"/>
      <c r="Z834" s="86"/>
      <c r="AA834" s="48"/>
      <c r="AB834" s="48"/>
      <c r="AC834" s="96"/>
      <c r="AD834" s="99"/>
      <c r="AE834" s="101"/>
    </row>
    <row r="835" spans="1:31" ht="17.100000000000001" customHeight="1" x14ac:dyDescent="0.25">
      <c r="A835" s="51"/>
      <c r="B835" s="54"/>
      <c r="C835" s="68"/>
      <c r="D835" s="69"/>
      <c r="E835" s="70"/>
      <c r="F835" s="68"/>
      <c r="G835" s="70"/>
      <c r="H835" s="59"/>
      <c r="I835" s="24"/>
      <c r="J835" s="62"/>
      <c r="K835" s="65"/>
      <c r="L835" s="17"/>
      <c r="M835" s="54"/>
      <c r="N835" s="44"/>
      <c r="O835" s="45"/>
      <c r="P835" s="38"/>
      <c r="Q835" s="45"/>
      <c r="R835" s="38"/>
      <c r="S835" s="39"/>
      <c r="T835" s="32"/>
      <c r="U835" s="78"/>
      <c r="V835" s="81"/>
      <c r="W835" s="81"/>
      <c r="X835" s="81"/>
      <c r="Y835" s="84"/>
      <c r="Z835" s="34"/>
      <c r="AA835" s="29"/>
      <c r="AB835" s="29"/>
      <c r="AC835" s="97"/>
      <c r="AD835" s="100"/>
      <c r="AE835" s="102"/>
    </row>
    <row r="836" spans="1:31" ht="17.100000000000001" customHeight="1" x14ac:dyDescent="0.25">
      <c r="A836" s="51"/>
      <c r="B836" s="66"/>
      <c r="C836" s="68"/>
      <c r="D836" s="69"/>
      <c r="E836" s="70"/>
      <c r="F836" s="68"/>
      <c r="G836" s="70"/>
      <c r="H836" s="59"/>
      <c r="I836" s="27"/>
      <c r="J836" s="63"/>
      <c r="K836" s="71"/>
      <c r="L836" s="18"/>
      <c r="M836" s="66"/>
      <c r="N836" s="46"/>
      <c r="O836" s="47"/>
      <c r="P836" s="40"/>
      <c r="Q836" s="47"/>
      <c r="R836" s="40"/>
      <c r="S836" s="41"/>
      <c r="T836" s="31">
        <f>(P837-P834)+(R834-R837)</f>
        <v>0</v>
      </c>
      <c r="U836" s="78"/>
      <c r="V836" s="81"/>
      <c r="W836" s="81"/>
      <c r="X836" s="81"/>
      <c r="Y836" s="84"/>
      <c r="Z836" s="87"/>
      <c r="AA836" s="49"/>
      <c r="AB836" s="49"/>
      <c r="AC836" s="98"/>
      <c r="AD836" s="104"/>
      <c r="AE836" s="102"/>
    </row>
    <row r="837" spans="1:31" ht="17.100000000000001" customHeight="1" x14ac:dyDescent="0.25">
      <c r="A837" s="51"/>
      <c r="B837" s="54"/>
      <c r="C837" s="68"/>
      <c r="D837" s="69"/>
      <c r="E837" s="70"/>
      <c r="F837" s="68"/>
      <c r="G837" s="70"/>
      <c r="H837" s="59"/>
      <c r="I837" s="23"/>
      <c r="J837" s="88"/>
      <c r="K837" s="65"/>
      <c r="L837" s="18"/>
      <c r="M837" s="54"/>
      <c r="N837" s="90">
        <f>(P834-N834)+(P837-P834)+(R834-R837)</f>
        <v>0</v>
      </c>
      <c r="O837" s="91"/>
      <c r="P837" s="90"/>
      <c r="Q837" s="91"/>
      <c r="R837" s="90"/>
      <c r="S837" s="94"/>
      <c r="T837" s="32"/>
      <c r="U837" s="78"/>
      <c r="V837" s="81"/>
      <c r="W837" s="81"/>
      <c r="X837" s="81"/>
      <c r="Y837" s="84"/>
      <c r="Z837" s="34"/>
      <c r="AA837" s="28"/>
      <c r="AB837" s="28"/>
      <c r="AC837" s="97"/>
      <c r="AD837" s="100"/>
      <c r="AE837" s="102"/>
    </row>
    <row r="838" spans="1:31" ht="17.100000000000001" customHeight="1" x14ac:dyDescent="0.25">
      <c r="A838" s="51"/>
      <c r="B838" s="66"/>
      <c r="C838" s="68"/>
      <c r="D838" s="69"/>
      <c r="E838" s="70"/>
      <c r="F838" s="68"/>
      <c r="G838" s="70"/>
      <c r="H838" s="59"/>
      <c r="I838" s="24"/>
      <c r="J838" s="62"/>
      <c r="K838" s="71" t="s">
        <v>51</v>
      </c>
      <c r="L838" s="16" t="s">
        <v>51</v>
      </c>
      <c r="M838" s="66" t="s">
        <v>51</v>
      </c>
      <c r="N838" s="38"/>
      <c r="O838" s="45"/>
      <c r="P838" s="38"/>
      <c r="Q838" s="45"/>
      <c r="R838" s="38"/>
      <c r="S838" s="39"/>
      <c r="T838" s="31">
        <f t="shared" ref="T838" si="259">R837-P837</f>
        <v>0</v>
      </c>
      <c r="U838" s="78"/>
      <c r="V838" s="81"/>
      <c r="W838" s="81"/>
      <c r="X838" s="81"/>
      <c r="Y838" s="84"/>
      <c r="Z838" s="34"/>
      <c r="AA838" s="29"/>
      <c r="AB838" s="29"/>
      <c r="AC838" s="97"/>
      <c r="AD838" s="104"/>
      <c r="AE838" s="102"/>
    </row>
    <row r="839" spans="1:31" ht="17.100000000000001" customHeight="1" thickBot="1" x14ac:dyDescent="0.3">
      <c r="A839" s="52"/>
      <c r="B839" s="67"/>
      <c r="C839" s="73"/>
      <c r="D839" s="74"/>
      <c r="E839" s="75"/>
      <c r="F839" s="73"/>
      <c r="G839" s="75"/>
      <c r="H839" s="60"/>
      <c r="I839" s="25"/>
      <c r="J839" s="89"/>
      <c r="K839" s="72"/>
      <c r="L839" s="19" t="s">
        <v>52</v>
      </c>
      <c r="M839" s="67"/>
      <c r="N839" s="92"/>
      <c r="O839" s="93"/>
      <c r="P839" s="92"/>
      <c r="Q839" s="93"/>
      <c r="R839" s="92"/>
      <c r="S839" s="95"/>
      <c r="T839" s="33"/>
      <c r="U839" s="79"/>
      <c r="V839" s="82"/>
      <c r="W839" s="82"/>
      <c r="X839" s="82"/>
      <c r="Y839" s="85"/>
      <c r="Z839" s="35"/>
      <c r="AA839" s="30"/>
      <c r="AB839" s="30"/>
      <c r="AC839" s="105"/>
      <c r="AD839" s="106"/>
      <c r="AE839" s="103"/>
    </row>
    <row r="840" spans="1:31" ht="17.100000000000001" customHeight="1" x14ac:dyDescent="0.25">
      <c r="A840" s="50">
        <v>46023</v>
      </c>
      <c r="B840" s="53"/>
      <c r="C840" s="55"/>
      <c r="D840" s="56"/>
      <c r="E840" s="57"/>
      <c r="F840" s="55"/>
      <c r="G840" s="57"/>
      <c r="H840" s="58"/>
      <c r="I840" s="26"/>
      <c r="J840" s="61"/>
      <c r="K840" s="64"/>
      <c r="L840" s="11"/>
      <c r="M840" s="53"/>
      <c r="N840" s="42"/>
      <c r="O840" s="43"/>
      <c r="P840" s="36"/>
      <c r="Q840" s="43"/>
      <c r="R840" s="36"/>
      <c r="S840" s="37"/>
      <c r="T840" s="76">
        <f t="shared" ref="T840" si="260">R840-P840</f>
        <v>0</v>
      </c>
      <c r="U840" s="77"/>
      <c r="V840" s="80"/>
      <c r="W840" s="80"/>
      <c r="X840" s="80"/>
      <c r="Y840" s="83"/>
      <c r="Z840" s="86"/>
      <c r="AA840" s="48"/>
      <c r="AB840" s="48"/>
      <c r="AC840" s="96"/>
      <c r="AD840" s="99"/>
      <c r="AE840" s="101"/>
    </row>
    <row r="841" spans="1:31" ht="17.100000000000001" customHeight="1" x14ac:dyDescent="0.25">
      <c r="A841" s="51"/>
      <c r="B841" s="54"/>
      <c r="C841" s="68"/>
      <c r="D841" s="69"/>
      <c r="E841" s="70"/>
      <c r="F841" s="68"/>
      <c r="G841" s="70"/>
      <c r="H841" s="59"/>
      <c r="I841" s="24"/>
      <c r="J841" s="62"/>
      <c r="K841" s="65"/>
      <c r="L841" s="17"/>
      <c r="M841" s="54"/>
      <c r="N841" s="44"/>
      <c r="O841" s="45"/>
      <c r="P841" s="38"/>
      <c r="Q841" s="45"/>
      <c r="R841" s="38"/>
      <c r="S841" s="39"/>
      <c r="T841" s="32"/>
      <c r="U841" s="78"/>
      <c r="V841" s="81"/>
      <c r="W841" s="81"/>
      <c r="X841" s="81"/>
      <c r="Y841" s="84"/>
      <c r="Z841" s="34"/>
      <c r="AA841" s="29"/>
      <c r="AB841" s="29"/>
      <c r="AC841" s="97"/>
      <c r="AD841" s="100"/>
      <c r="AE841" s="102"/>
    </row>
    <row r="842" spans="1:31" ht="17.100000000000001" customHeight="1" x14ac:dyDescent="0.25">
      <c r="A842" s="51"/>
      <c r="B842" s="66"/>
      <c r="C842" s="68"/>
      <c r="D842" s="69"/>
      <c r="E842" s="70"/>
      <c r="F842" s="68"/>
      <c r="G842" s="70"/>
      <c r="H842" s="59"/>
      <c r="I842" s="27"/>
      <c r="J842" s="63"/>
      <c r="K842" s="71"/>
      <c r="L842" s="18"/>
      <c r="M842" s="66"/>
      <c r="N842" s="46"/>
      <c r="O842" s="47"/>
      <c r="P842" s="40"/>
      <c r="Q842" s="47"/>
      <c r="R842" s="40"/>
      <c r="S842" s="41"/>
      <c r="T842" s="31">
        <f>(P843-P840)+(R840-R843)</f>
        <v>0</v>
      </c>
      <c r="U842" s="78"/>
      <c r="V842" s="81"/>
      <c r="W842" s="81"/>
      <c r="X842" s="81"/>
      <c r="Y842" s="84"/>
      <c r="Z842" s="87"/>
      <c r="AA842" s="49"/>
      <c r="AB842" s="49"/>
      <c r="AC842" s="98"/>
      <c r="AD842" s="104"/>
      <c r="AE842" s="102"/>
    </row>
    <row r="843" spans="1:31" ht="17.100000000000001" customHeight="1" x14ac:dyDescent="0.25">
      <c r="A843" s="51"/>
      <c r="B843" s="54"/>
      <c r="C843" s="68"/>
      <c r="D843" s="69"/>
      <c r="E843" s="70"/>
      <c r="F843" s="68"/>
      <c r="G843" s="70"/>
      <c r="H843" s="59"/>
      <c r="I843" s="23"/>
      <c r="J843" s="88"/>
      <c r="K843" s="65"/>
      <c r="L843" s="18"/>
      <c r="M843" s="54"/>
      <c r="N843" s="90">
        <f>(P840-N840)+(P843-P840)+(R840-R843)</f>
        <v>0</v>
      </c>
      <c r="O843" s="91"/>
      <c r="P843" s="90"/>
      <c r="Q843" s="91"/>
      <c r="R843" s="90"/>
      <c r="S843" s="94"/>
      <c r="T843" s="32"/>
      <c r="U843" s="78"/>
      <c r="V843" s="81"/>
      <c r="W843" s="81"/>
      <c r="X843" s="81"/>
      <c r="Y843" s="84"/>
      <c r="Z843" s="34"/>
      <c r="AA843" s="28"/>
      <c r="AB843" s="28"/>
      <c r="AC843" s="97"/>
      <c r="AD843" s="100"/>
      <c r="AE843" s="102"/>
    </row>
    <row r="844" spans="1:31" ht="17.100000000000001" customHeight="1" x14ac:dyDescent="0.25">
      <c r="A844" s="51"/>
      <c r="B844" s="66"/>
      <c r="C844" s="68"/>
      <c r="D844" s="69"/>
      <c r="E844" s="70"/>
      <c r="F844" s="68"/>
      <c r="G844" s="70"/>
      <c r="H844" s="59"/>
      <c r="I844" s="24"/>
      <c r="J844" s="62"/>
      <c r="K844" s="71" t="s">
        <v>51</v>
      </c>
      <c r="L844" s="16" t="s">
        <v>51</v>
      </c>
      <c r="M844" s="66" t="s">
        <v>51</v>
      </c>
      <c r="N844" s="38"/>
      <c r="O844" s="45"/>
      <c r="P844" s="38"/>
      <c r="Q844" s="45"/>
      <c r="R844" s="38"/>
      <c r="S844" s="39"/>
      <c r="T844" s="31">
        <f t="shared" ref="T844" si="261">R843-P843</f>
        <v>0</v>
      </c>
      <c r="U844" s="78"/>
      <c r="V844" s="81"/>
      <c r="W844" s="81"/>
      <c r="X844" s="81"/>
      <c r="Y844" s="84"/>
      <c r="Z844" s="34"/>
      <c r="AA844" s="29"/>
      <c r="AB844" s="29"/>
      <c r="AC844" s="97"/>
      <c r="AD844" s="104"/>
      <c r="AE844" s="102"/>
    </row>
    <row r="845" spans="1:31" ht="17.100000000000001" customHeight="1" thickBot="1" x14ac:dyDescent="0.3">
      <c r="A845" s="52"/>
      <c r="B845" s="67"/>
      <c r="C845" s="73"/>
      <c r="D845" s="74"/>
      <c r="E845" s="75"/>
      <c r="F845" s="73"/>
      <c r="G845" s="75"/>
      <c r="H845" s="60"/>
      <c r="I845" s="25"/>
      <c r="J845" s="89"/>
      <c r="K845" s="72"/>
      <c r="L845" s="19" t="s">
        <v>52</v>
      </c>
      <c r="M845" s="67"/>
      <c r="N845" s="92"/>
      <c r="O845" s="93"/>
      <c r="P845" s="92"/>
      <c r="Q845" s="93"/>
      <c r="R845" s="92"/>
      <c r="S845" s="95"/>
      <c r="T845" s="33"/>
      <c r="U845" s="79"/>
      <c r="V845" s="82"/>
      <c r="W845" s="82"/>
      <c r="X845" s="82"/>
      <c r="Y845" s="85"/>
      <c r="Z845" s="35"/>
      <c r="AA845" s="30"/>
      <c r="AB845" s="30"/>
      <c r="AC845" s="105"/>
      <c r="AD845" s="106"/>
      <c r="AE845" s="103"/>
    </row>
    <row r="846" spans="1:31" ht="17.100000000000001" customHeight="1" x14ac:dyDescent="0.25">
      <c r="A846" s="50">
        <v>46023</v>
      </c>
      <c r="B846" s="53"/>
      <c r="C846" s="55"/>
      <c r="D846" s="56"/>
      <c r="E846" s="57"/>
      <c r="F846" s="55"/>
      <c r="G846" s="57"/>
      <c r="H846" s="58"/>
      <c r="I846" s="26"/>
      <c r="J846" s="61"/>
      <c r="K846" s="64"/>
      <c r="L846" s="11"/>
      <c r="M846" s="53"/>
      <c r="N846" s="42"/>
      <c r="O846" s="43"/>
      <c r="P846" s="36"/>
      <c r="Q846" s="43"/>
      <c r="R846" s="36"/>
      <c r="S846" s="37"/>
      <c r="T846" s="76">
        <f t="shared" ref="T846" si="262">R846-P846</f>
        <v>0</v>
      </c>
      <c r="U846" s="77"/>
      <c r="V846" s="80"/>
      <c r="W846" s="80"/>
      <c r="X846" s="80"/>
      <c r="Y846" s="83"/>
      <c r="Z846" s="86"/>
      <c r="AA846" s="48"/>
      <c r="AB846" s="48"/>
      <c r="AC846" s="96"/>
      <c r="AD846" s="99"/>
      <c r="AE846" s="101"/>
    </row>
    <row r="847" spans="1:31" ht="17.100000000000001" customHeight="1" x14ac:dyDescent="0.25">
      <c r="A847" s="51"/>
      <c r="B847" s="54"/>
      <c r="C847" s="68"/>
      <c r="D847" s="69"/>
      <c r="E847" s="70"/>
      <c r="F847" s="68"/>
      <c r="G847" s="70"/>
      <c r="H847" s="59"/>
      <c r="I847" s="24"/>
      <c r="J847" s="62"/>
      <c r="K847" s="65"/>
      <c r="L847" s="17"/>
      <c r="M847" s="54"/>
      <c r="N847" s="44"/>
      <c r="O847" s="45"/>
      <c r="P847" s="38"/>
      <c r="Q847" s="45"/>
      <c r="R847" s="38"/>
      <c r="S847" s="39"/>
      <c r="T847" s="32"/>
      <c r="U847" s="78"/>
      <c r="V847" s="81"/>
      <c r="W847" s="81"/>
      <c r="X847" s="81"/>
      <c r="Y847" s="84"/>
      <c r="Z847" s="34"/>
      <c r="AA847" s="29"/>
      <c r="AB847" s="29"/>
      <c r="AC847" s="97"/>
      <c r="AD847" s="100"/>
      <c r="AE847" s="102"/>
    </row>
    <row r="848" spans="1:31" ht="17.100000000000001" customHeight="1" x14ac:dyDescent="0.25">
      <c r="A848" s="51"/>
      <c r="B848" s="66"/>
      <c r="C848" s="68"/>
      <c r="D848" s="69"/>
      <c r="E848" s="70"/>
      <c r="F848" s="68"/>
      <c r="G848" s="70"/>
      <c r="H848" s="59"/>
      <c r="I848" s="27"/>
      <c r="J848" s="63"/>
      <c r="K848" s="71"/>
      <c r="L848" s="18"/>
      <c r="M848" s="66"/>
      <c r="N848" s="46"/>
      <c r="O848" s="47"/>
      <c r="P848" s="40"/>
      <c r="Q848" s="47"/>
      <c r="R848" s="40"/>
      <c r="S848" s="41"/>
      <c r="T848" s="31">
        <f>(P849-P846)+(R846-R849)</f>
        <v>0</v>
      </c>
      <c r="U848" s="78"/>
      <c r="V848" s="81"/>
      <c r="W848" s="81"/>
      <c r="X848" s="81"/>
      <c r="Y848" s="84"/>
      <c r="Z848" s="87"/>
      <c r="AA848" s="49"/>
      <c r="AB848" s="49"/>
      <c r="AC848" s="98"/>
      <c r="AD848" s="104"/>
      <c r="AE848" s="102"/>
    </row>
    <row r="849" spans="1:31" ht="17.100000000000001" customHeight="1" x14ac:dyDescent="0.25">
      <c r="A849" s="51"/>
      <c r="B849" s="54"/>
      <c r="C849" s="68"/>
      <c r="D849" s="69"/>
      <c r="E849" s="70"/>
      <c r="F849" s="68"/>
      <c r="G849" s="70"/>
      <c r="H849" s="59"/>
      <c r="I849" s="23"/>
      <c r="J849" s="88"/>
      <c r="K849" s="65"/>
      <c r="L849" s="18"/>
      <c r="M849" s="54"/>
      <c r="N849" s="90">
        <f>(P846-N846)+(P849-P846)+(R846-R849)</f>
        <v>0</v>
      </c>
      <c r="O849" s="91"/>
      <c r="P849" s="90"/>
      <c r="Q849" s="91"/>
      <c r="R849" s="90"/>
      <c r="S849" s="94"/>
      <c r="T849" s="32"/>
      <c r="U849" s="78"/>
      <c r="V849" s="81"/>
      <c r="W849" s="81"/>
      <c r="X849" s="81"/>
      <c r="Y849" s="84"/>
      <c r="Z849" s="34"/>
      <c r="AA849" s="28"/>
      <c r="AB849" s="28"/>
      <c r="AC849" s="97"/>
      <c r="AD849" s="100"/>
      <c r="AE849" s="102"/>
    </row>
    <row r="850" spans="1:31" ht="17.100000000000001" customHeight="1" x14ac:dyDescent="0.25">
      <c r="A850" s="51"/>
      <c r="B850" s="66"/>
      <c r="C850" s="68"/>
      <c r="D850" s="69"/>
      <c r="E850" s="70"/>
      <c r="F850" s="68"/>
      <c r="G850" s="70"/>
      <c r="H850" s="59"/>
      <c r="I850" s="24"/>
      <c r="J850" s="62"/>
      <c r="K850" s="71" t="s">
        <v>51</v>
      </c>
      <c r="L850" s="16" t="s">
        <v>51</v>
      </c>
      <c r="M850" s="66" t="s">
        <v>51</v>
      </c>
      <c r="N850" s="38"/>
      <c r="O850" s="45"/>
      <c r="P850" s="38"/>
      <c r="Q850" s="45"/>
      <c r="R850" s="38"/>
      <c r="S850" s="39"/>
      <c r="T850" s="31">
        <f t="shared" ref="T850" si="263">R849-P849</f>
        <v>0</v>
      </c>
      <c r="U850" s="78"/>
      <c r="V850" s="81"/>
      <c r="W850" s="81"/>
      <c r="X850" s="81"/>
      <c r="Y850" s="84"/>
      <c r="Z850" s="34"/>
      <c r="AA850" s="29"/>
      <c r="AB850" s="29"/>
      <c r="AC850" s="97"/>
      <c r="AD850" s="104"/>
      <c r="AE850" s="102"/>
    </row>
    <row r="851" spans="1:31" ht="17.100000000000001" customHeight="1" thickBot="1" x14ac:dyDescent="0.3">
      <c r="A851" s="52"/>
      <c r="B851" s="67"/>
      <c r="C851" s="73"/>
      <c r="D851" s="74"/>
      <c r="E851" s="75"/>
      <c r="F851" s="73"/>
      <c r="G851" s="75"/>
      <c r="H851" s="60"/>
      <c r="I851" s="25"/>
      <c r="J851" s="89"/>
      <c r="K851" s="72"/>
      <c r="L851" s="19" t="s">
        <v>52</v>
      </c>
      <c r="M851" s="67"/>
      <c r="N851" s="92"/>
      <c r="O851" s="93"/>
      <c r="P851" s="92"/>
      <c r="Q851" s="93"/>
      <c r="R851" s="92"/>
      <c r="S851" s="95"/>
      <c r="T851" s="33"/>
      <c r="U851" s="79"/>
      <c r="V851" s="82"/>
      <c r="W851" s="82"/>
      <c r="X851" s="82"/>
      <c r="Y851" s="85"/>
      <c r="Z851" s="35"/>
      <c r="AA851" s="30"/>
      <c r="AB851" s="30"/>
      <c r="AC851" s="105"/>
      <c r="AD851" s="106"/>
      <c r="AE851" s="103"/>
    </row>
    <row r="852" spans="1:31" ht="17.100000000000001" customHeight="1" x14ac:dyDescent="0.25">
      <c r="A852" s="50">
        <v>46023</v>
      </c>
      <c r="B852" s="53"/>
      <c r="C852" s="55"/>
      <c r="D852" s="56"/>
      <c r="E852" s="57"/>
      <c r="F852" s="55"/>
      <c r="G852" s="57"/>
      <c r="H852" s="58"/>
      <c r="I852" s="26"/>
      <c r="J852" s="61"/>
      <c r="K852" s="64"/>
      <c r="L852" s="11"/>
      <c r="M852" s="53"/>
      <c r="N852" s="42"/>
      <c r="O852" s="43"/>
      <c r="P852" s="36"/>
      <c r="Q852" s="43"/>
      <c r="R852" s="36"/>
      <c r="S852" s="37"/>
      <c r="T852" s="76">
        <f t="shared" ref="T852" si="264">R852-P852</f>
        <v>0</v>
      </c>
      <c r="U852" s="77"/>
      <c r="V852" s="80"/>
      <c r="W852" s="80"/>
      <c r="X852" s="80"/>
      <c r="Y852" s="83"/>
      <c r="Z852" s="86"/>
      <c r="AA852" s="48"/>
      <c r="AB852" s="48"/>
      <c r="AC852" s="96"/>
      <c r="AD852" s="99"/>
      <c r="AE852" s="101"/>
    </row>
    <row r="853" spans="1:31" ht="17.100000000000001" customHeight="1" x14ac:dyDescent="0.25">
      <c r="A853" s="51"/>
      <c r="B853" s="54"/>
      <c r="C853" s="68"/>
      <c r="D853" s="69"/>
      <c r="E853" s="70"/>
      <c r="F853" s="68"/>
      <c r="G853" s="70"/>
      <c r="H853" s="59"/>
      <c r="I853" s="24"/>
      <c r="J853" s="62"/>
      <c r="K853" s="65"/>
      <c r="L853" s="17"/>
      <c r="M853" s="54"/>
      <c r="N853" s="44"/>
      <c r="O853" s="45"/>
      <c r="P853" s="38"/>
      <c r="Q853" s="45"/>
      <c r="R853" s="38"/>
      <c r="S853" s="39"/>
      <c r="T853" s="32"/>
      <c r="U853" s="78"/>
      <c r="V853" s="81"/>
      <c r="W853" s="81"/>
      <c r="X853" s="81"/>
      <c r="Y853" s="84"/>
      <c r="Z853" s="34"/>
      <c r="AA853" s="29"/>
      <c r="AB853" s="29"/>
      <c r="AC853" s="97"/>
      <c r="AD853" s="100"/>
      <c r="AE853" s="102"/>
    </row>
    <row r="854" spans="1:31" ht="17.100000000000001" customHeight="1" x14ac:dyDescent="0.25">
      <c r="A854" s="51"/>
      <c r="B854" s="66"/>
      <c r="C854" s="68"/>
      <c r="D854" s="69"/>
      <c r="E854" s="70"/>
      <c r="F854" s="68"/>
      <c r="G854" s="70"/>
      <c r="H854" s="59"/>
      <c r="I854" s="27"/>
      <c r="J854" s="63"/>
      <c r="K854" s="71"/>
      <c r="L854" s="18"/>
      <c r="M854" s="66"/>
      <c r="N854" s="46"/>
      <c r="O854" s="47"/>
      <c r="P854" s="40"/>
      <c r="Q854" s="47"/>
      <c r="R854" s="40"/>
      <c r="S854" s="41"/>
      <c r="T854" s="31">
        <f>(P855-P852)+(R852-R855)</f>
        <v>0</v>
      </c>
      <c r="U854" s="78"/>
      <c r="V854" s="81"/>
      <c r="W854" s="81"/>
      <c r="X854" s="81"/>
      <c r="Y854" s="84"/>
      <c r="Z854" s="87"/>
      <c r="AA854" s="49"/>
      <c r="AB854" s="49"/>
      <c r="AC854" s="98"/>
      <c r="AD854" s="104"/>
      <c r="AE854" s="102"/>
    </row>
    <row r="855" spans="1:31" ht="17.100000000000001" customHeight="1" x14ac:dyDescent="0.25">
      <c r="A855" s="51"/>
      <c r="B855" s="54"/>
      <c r="C855" s="68"/>
      <c r="D855" s="69"/>
      <c r="E855" s="70"/>
      <c r="F855" s="68"/>
      <c r="G855" s="70"/>
      <c r="H855" s="59"/>
      <c r="I855" s="23"/>
      <c r="J855" s="88"/>
      <c r="K855" s="65"/>
      <c r="L855" s="18"/>
      <c r="M855" s="54"/>
      <c r="N855" s="90">
        <f>(P852-N852)+(P855-P852)+(R852-R855)</f>
        <v>0</v>
      </c>
      <c r="O855" s="91"/>
      <c r="P855" s="90"/>
      <c r="Q855" s="91"/>
      <c r="R855" s="90"/>
      <c r="S855" s="94"/>
      <c r="T855" s="32"/>
      <c r="U855" s="78"/>
      <c r="V855" s="81"/>
      <c r="W855" s="81"/>
      <c r="X855" s="81"/>
      <c r="Y855" s="84"/>
      <c r="Z855" s="34"/>
      <c r="AA855" s="28"/>
      <c r="AB855" s="28"/>
      <c r="AC855" s="97"/>
      <c r="AD855" s="100"/>
      <c r="AE855" s="102"/>
    </row>
    <row r="856" spans="1:31" ht="17.100000000000001" customHeight="1" x14ac:dyDescent="0.25">
      <c r="A856" s="51"/>
      <c r="B856" s="66"/>
      <c r="C856" s="68"/>
      <c r="D856" s="69"/>
      <c r="E856" s="70"/>
      <c r="F856" s="68"/>
      <c r="G856" s="70"/>
      <c r="H856" s="59"/>
      <c r="I856" s="24"/>
      <c r="J856" s="62"/>
      <c r="K856" s="71" t="s">
        <v>51</v>
      </c>
      <c r="L856" s="16" t="s">
        <v>51</v>
      </c>
      <c r="M856" s="66" t="s">
        <v>51</v>
      </c>
      <c r="N856" s="38"/>
      <c r="O856" s="45"/>
      <c r="P856" s="38"/>
      <c r="Q856" s="45"/>
      <c r="R856" s="38"/>
      <c r="S856" s="39"/>
      <c r="T856" s="31">
        <f t="shared" ref="T856" si="265">R855-P855</f>
        <v>0</v>
      </c>
      <c r="U856" s="78"/>
      <c r="V856" s="81"/>
      <c r="W856" s="81"/>
      <c r="X856" s="81"/>
      <c r="Y856" s="84"/>
      <c r="Z856" s="34"/>
      <c r="AA856" s="29"/>
      <c r="AB856" s="29"/>
      <c r="AC856" s="97"/>
      <c r="AD856" s="104"/>
      <c r="AE856" s="102"/>
    </row>
    <row r="857" spans="1:31" ht="17.100000000000001" customHeight="1" thickBot="1" x14ac:dyDescent="0.3">
      <c r="A857" s="52"/>
      <c r="B857" s="67"/>
      <c r="C857" s="73"/>
      <c r="D857" s="74"/>
      <c r="E857" s="75"/>
      <c r="F857" s="73"/>
      <c r="G857" s="75"/>
      <c r="H857" s="60"/>
      <c r="I857" s="25"/>
      <c r="J857" s="89"/>
      <c r="K857" s="72"/>
      <c r="L857" s="19" t="s">
        <v>52</v>
      </c>
      <c r="M857" s="67"/>
      <c r="N857" s="92"/>
      <c r="O857" s="93"/>
      <c r="P857" s="92"/>
      <c r="Q857" s="93"/>
      <c r="R857" s="92"/>
      <c r="S857" s="95"/>
      <c r="T857" s="33"/>
      <c r="U857" s="79"/>
      <c r="V857" s="82"/>
      <c r="W857" s="82"/>
      <c r="X857" s="82"/>
      <c r="Y857" s="85"/>
      <c r="Z857" s="35"/>
      <c r="AA857" s="30"/>
      <c r="AB857" s="30"/>
      <c r="AC857" s="105"/>
      <c r="AD857" s="106"/>
      <c r="AE857" s="103"/>
    </row>
    <row r="858" spans="1:31" ht="17.100000000000001" customHeight="1" x14ac:dyDescent="0.25">
      <c r="A858" s="50">
        <v>46023</v>
      </c>
      <c r="B858" s="53"/>
      <c r="C858" s="55"/>
      <c r="D858" s="56"/>
      <c r="E858" s="57"/>
      <c r="F858" s="55"/>
      <c r="G858" s="57"/>
      <c r="H858" s="58"/>
      <c r="I858" s="26"/>
      <c r="J858" s="61"/>
      <c r="K858" s="64"/>
      <c r="L858" s="11"/>
      <c r="M858" s="53"/>
      <c r="N858" s="42"/>
      <c r="O858" s="43"/>
      <c r="P858" s="36"/>
      <c r="Q858" s="43"/>
      <c r="R858" s="36"/>
      <c r="S858" s="37"/>
      <c r="T858" s="76">
        <f t="shared" ref="T858" si="266">R858-P858</f>
        <v>0</v>
      </c>
      <c r="U858" s="77"/>
      <c r="V858" s="80"/>
      <c r="W858" s="80"/>
      <c r="X858" s="80"/>
      <c r="Y858" s="83"/>
      <c r="Z858" s="86"/>
      <c r="AA858" s="48"/>
      <c r="AB858" s="48"/>
      <c r="AC858" s="96"/>
      <c r="AD858" s="99"/>
      <c r="AE858" s="101"/>
    </row>
    <row r="859" spans="1:31" ht="17.100000000000001" customHeight="1" x14ac:dyDescent="0.25">
      <c r="A859" s="51"/>
      <c r="B859" s="54"/>
      <c r="C859" s="68"/>
      <c r="D859" s="69"/>
      <c r="E859" s="70"/>
      <c r="F859" s="68"/>
      <c r="G859" s="70"/>
      <c r="H859" s="59"/>
      <c r="I859" s="24"/>
      <c r="J859" s="62"/>
      <c r="K859" s="65"/>
      <c r="L859" s="17"/>
      <c r="M859" s="54"/>
      <c r="N859" s="44"/>
      <c r="O859" s="45"/>
      <c r="P859" s="38"/>
      <c r="Q859" s="45"/>
      <c r="R859" s="38"/>
      <c r="S859" s="39"/>
      <c r="T859" s="32"/>
      <c r="U859" s="78"/>
      <c r="V859" s="81"/>
      <c r="W859" s="81"/>
      <c r="X859" s="81"/>
      <c r="Y859" s="84"/>
      <c r="Z859" s="34"/>
      <c r="AA859" s="29"/>
      <c r="AB859" s="29"/>
      <c r="AC859" s="97"/>
      <c r="AD859" s="100"/>
      <c r="AE859" s="102"/>
    </row>
    <row r="860" spans="1:31" ht="17.100000000000001" customHeight="1" x14ac:dyDescent="0.25">
      <c r="A860" s="51"/>
      <c r="B860" s="66"/>
      <c r="C860" s="68"/>
      <c r="D860" s="69"/>
      <c r="E860" s="70"/>
      <c r="F860" s="68"/>
      <c r="G860" s="70"/>
      <c r="H860" s="59"/>
      <c r="I860" s="27"/>
      <c r="J860" s="63"/>
      <c r="K860" s="71"/>
      <c r="L860" s="18"/>
      <c r="M860" s="66"/>
      <c r="N860" s="46"/>
      <c r="O860" s="47"/>
      <c r="P860" s="40"/>
      <c r="Q860" s="47"/>
      <c r="R860" s="40"/>
      <c r="S860" s="41"/>
      <c r="T860" s="31">
        <f>(P861-P858)+(R858-R861)</f>
        <v>0</v>
      </c>
      <c r="U860" s="78"/>
      <c r="V860" s="81"/>
      <c r="W860" s="81"/>
      <c r="X860" s="81"/>
      <c r="Y860" s="84"/>
      <c r="Z860" s="87"/>
      <c r="AA860" s="49"/>
      <c r="AB860" s="49"/>
      <c r="AC860" s="98"/>
      <c r="AD860" s="104"/>
      <c r="AE860" s="102"/>
    </row>
    <row r="861" spans="1:31" ht="17.100000000000001" customHeight="1" x14ac:dyDescent="0.25">
      <c r="A861" s="51"/>
      <c r="B861" s="54"/>
      <c r="C861" s="68"/>
      <c r="D861" s="69"/>
      <c r="E861" s="70"/>
      <c r="F861" s="68"/>
      <c r="G861" s="70"/>
      <c r="H861" s="59"/>
      <c r="I861" s="23"/>
      <c r="J861" s="88"/>
      <c r="K861" s="65"/>
      <c r="L861" s="18"/>
      <c r="M861" s="54"/>
      <c r="N861" s="90">
        <f>(P858-N858)+(P861-P858)+(R858-R861)</f>
        <v>0</v>
      </c>
      <c r="O861" s="91"/>
      <c r="P861" s="90"/>
      <c r="Q861" s="91"/>
      <c r="R861" s="90"/>
      <c r="S861" s="94"/>
      <c r="T861" s="32"/>
      <c r="U861" s="78"/>
      <c r="V861" s="81"/>
      <c r="W861" s="81"/>
      <c r="X861" s="81"/>
      <c r="Y861" s="84"/>
      <c r="Z861" s="34"/>
      <c r="AA861" s="28"/>
      <c r="AB861" s="28"/>
      <c r="AC861" s="97"/>
      <c r="AD861" s="100"/>
      <c r="AE861" s="102"/>
    </row>
    <row r="862" spans="1:31" ht="17.100000000000001" customHeight="1" x14ac:dyDescent="0.25">
      <c r="A862" s="51"/>
      <c r="B862" s="66"/>
      <c r="C862" s="68"/>
      <c r="D862" s="69"/>
      <c r="E862" s="70"/>
      <c r="F862" s="68"/>
      <c r="G862" s="70"/>
      <c r="H862" s="59"/>
      <c r="I862" s="24"/>
      <c r="J862" s="62"/>
      <c r="K862" s="71" t="s">
        <v>51</v>
      </c>
      <c r="L862" s="16" t="s">
        <v>51</v>
      </c>
      <c r="M862" s="66" t="s">
        <v>51</v>
      </c>
      <c r="N862" s="38"/>
      <c r="O862" s="45"/>
      <c r="P862" s="38"/>
      <c r="Q862" s="45"/>
      <c r="R862" s="38"/>
      <c r="S862" s="39"/>
      <c r="T862" s="31">
        <f t="shared" ref="T862" si="267">R861-P861</f>
        <v>0</v>
      </c>
      <c r="U862" s="78"/>
      <c r="V862" s="81"/>
      <c r="W862" s="81"/>
      <c r="X862" s="81"/>
      <c r="Y862" s="84"/>
      <c r="Z862" s="34"/>
      <c r="AA862" s="29"/>
      <c r="AB862" s="29"/>
      <c r="AC862" s="97"/>
      <c r="AD862" s="104"/>
      <c r="AE862" s="102"/>
    </row>
    <row r="863" spans="1:31" ht="17.100000000000001" customHeight="1" thickBot="1" x14ac:dyDescent="0.3">
      <c r="A863" s="52"/>
      <c r="B863" s="67"/>
      <c r="C863" s="73"/>
      <c r="D863" s="74"/>
      <c r="E863" s="75"/>
      <c r="F863" s="73"/>
      <c r="G863" s="75"/>
      <c r="H863" s="60"/>
      <c r="I863" s="25"/>
      <c r="J863" s="89"/>
      <c r="K863" s="72"/>
      <c r="L863" s="19" t="s">
        <v>52</v>
      </c>
      <c r="M863" s="67"/>
      <c r="N863" s="92"/>
      <c r="O863" s="93"/>
      <c r="P863" s="92"/>
      <c r="Q863" s="93"/>
      <c r="R863" s="92"/>
      <c r="S863" s="95"/>
      <c r="T863" s="33"/>
      <c r="U863" s="79"/>
      <c r="V863" s="82"/>
      <c r="W863" s="82"/>
      <c r="X863" s="82"/>
      <c r="Y863" s="85"/>
      <c r="Z863" s="35"/>
      <c r="AA863" s="30"/>
      <c r="AB863" s="30"/>
      <c r="AC863" s="105"/>
      <c r="AD863" s="106"/>
      <c r="AE863" s="103"/>
    </row>
    <row r="865" spans="1:31" ht="17.100000000000001" customHeight="1" thickBot="1" x14ac:dyDescent="0.3"/>
    <row r="866" spans="1:31" ht="17.100000000000001" customHeight="1" x14ac:dyDescent="0.25">
      <c r="A866" s="50">
        <v>46023</v>
      </c>
      <c r="B866" s="53"/>
      <c r="C866" s="55"/>
      <c r="D866" s="56"/>
      <c r="E866" s="57"/>
      <c r="F866" s="55"/>
      <c r="G866" s="57"/>
      <c r="H866" s="58"/>
      <c r="I866" s="26"/>
      <c r="J866" s="61"/>
      <c r="K866" s="64"/>
      <c r="L866" s="11"/>
      <c r="M866" s="53"/>
      <c r="N866" s="42"/>
      <c r="O866" s="43"/>
      <c r="P866" s="36"/>
      <c r="Q866" s="43"/>
      <c r="R866" s="36"/>
      <c r="S866" s="37"/>
      <c r="T866" s="76">
        <f t="shared" ref="T866" si="268">R866-P866</f>
        <v>0</v>
      </c>
      <c r="U866" s="77"/>
      <c r="V866" s="80"/>
      <c r="W866" s="80"/>
      <c r="X866" s="80"/>
      <c r="Y866" s="83"/>
      <c r="Z866" s="86"/>
      <c r="AA866" s="48"/>
      <c r="AB866" s="48"/>
      <c r="AC866" s="96"/>
      <c r="AD866" s="99"/>
      <c r="AE866" s="101"/>
    </row>
    <row r="867" spans="1:31" ht="17.100000000000001" customHeight="1" x14ac:dyDescent="0.25">
      <c r="A867" s="51"/>
      <c r="B867" s="54"/>
      <c r="C867" s="68"/>
      <c r="D867" s="69"/>
      <c r="E867" s="70"/>
      <c r="F867" s="68"/>
      <c r="G867" s="70"/>
      <c r="H867" s="59"/>
      <c r="I867" s="24"/>
      <c r="J867" s="62"/>
      <c r="K867" s="65"/>
      <c r="L867" s="17"/>
      <c r="M867" s="54"/>
      <c r="N867" s="44"/>
      <c r="O867" s="45"/>
      <c r="P867" s="38"/>
      <c r="Q867" s="45"/>
      <c r="R867" s="38"/>
      <c r="S867" s="39"/>
      <c r="T867" s="32"/>
      <c r="U867" s="78"/>
      <c r="V867" s="81"/>
      <c r="W867" s="81"/>
      <c r="X867" s="81"/>
      <c r="Y867" s="84"/>
      <c r="Z867" s="34"/>
      <c r="AA867" s="29"/>
      <c r="AB867" s="29"/>
      <c r="AC867" s="97"/>
      <c r="AD867" s="100"/>
      <c r="AE867" s="102"/>
    </row>
    <row r="868" spans="1:31" ht="17.100000000000001" customHeight="1" x14ac:dyDescent="0.25">
      <c r="A868" s="51"/>
      <c r="B868" s="66"/>
      <c r="C868" s="68"/>
      <c r="D868" s="69"/>
      <c r="E868" s="70"/>
      <c r="F868" s="68"/>
      <c r="G868" s="70"/>
      <c r="H868" s="59"/>
      <c r="I868" s="27"/>
      <c r="J868" s="63"/>
      <c r="K868" s="71"/>
      <c r="L868" s="18"/>
      <c r="M868" s="66"/>
      <c r="N868" s="46"/>
      <c r="O868" s="47"/>
      <c r="P868" s="40"/>
      <c r="Q868" s="47"/>
      <c r="R868" s="40"/>
      <c r="S868" s="41"/>
      <c r="T868" s="31">
        <f>(P869-P866)+(R866-R869)</f>
        <v>0</v>
      </c>
      <c r="U868" s="78"/>
      <c r="V868" s="81"/>
      <c r="W868" s="81"/>
      <c r="X868" s="81"/>
      <c r="Y868" s="84"/>
      <c r="Z868" s="87"/>
      <c r="AA868" s="49"/>
      <c r="AB868" s="49"/>
      <c r="AC868" s="98"/>
      <c r="AD868" s="104"/>
      <c r="AE868" s="102"/>
    </row>
    <row r="869" spans="1:31" ht="17.100000000000001" customHeight="1" x14ac:dyDescent="0.25">
      <c r="A869" s="51"/>
      <c r="B869" s="54"/>
      <c r="C869" s="68"/>
      <c r="D869" s="69"/>
      <c r="E869" s="70"/>
      <c r="F869" s="68"/>
      <c r="G869" s="70"/>
      <c r="H869" s="59"/>
      <c r="I869" s="23"/>
      <c r="J869" s="88"/>
      <c r="K869" s="65"/>
      <c r="L869" s="18"/>
      <c r="M869" s="54"/>
      <c r="N869" s="90">
        <f>(P866-N866)+(P869-P866)+(R866-R869)</f>
        <v>0</v>
      </c>
      <c r="O869" s="91"/>
      <c r="P869" s="90"/>
      <c r="Q869" s="91"/>
      <c r="R869" s="90"/>
      <c r="S869" s="94"/>
      <c r="T869" s="32"/>
      <c r="U869" s="78"/>
      <c r="V869" s="81"/>
      <c r="W869" s="81"/>
      <c r="X869" s="81"/>
      <c r="Y869" s="84"/>
      <c r="Z869" s="34"/>
      <c r="AA869" s="28"/>
      <c r="AB869" s="28"/>
      <c r="AC869" s="97"/>
      <c r="AD869" s="100"/>
      <c r="AE869" s="102"/>
    </row>
    <row r="870" spans="1:31" ht="17.100000000000001" customHeight="1" x14ac:dyDescent="0.25">
      <c r="A870" s="51"/>
      <c r="B870" s="66"/>
      <c r="C870" s="68"/>
      <c r="D870" s="69"/>
      <c r="E870" s="70"/>
      <c r="F870" s="68"/>
      <c r="G870" s="70"/>
      <c r="H870" s="59"/>
      <c r="I870" s="24"/>
      <c r="J870" s="62"/>
      <c r="K870" s="71" t="s">
        <v>51</v>
      </c>
      <c r="L870" s="16" t="s">
        <v>51</v>
      </c>
      <c r="M870" s="66" t="s">
        <v>51</v>
      </c>
      <c r="N870" s="38"/>
      <c r="O870" s="45"/>
      <c r="P870" s="38"/>
      <c r="Q870" s="45"/>
      <c r="R870" s="38"/>
      <c r="S870" s="39"/>
      <c r="T870" s="31">
        <f t="shared" ref="T870" si="269">R869-P869</f>
        <v>0</v>
      </c>
      <c r="U870" s="78"/>
      <c r="V870" s="81"/>
      <c r="W870" s="81"/>
      <c r="X870" s="81"/>
      <c r="Y870" s="84"/>
      <c r="Z870" s="34"/>
      <c r="AA870" s="29"/>
      <c r="AB870" s="29"/>
      <c r="AC870" s="97"/>
      <c r="AD870" s="104"/>
      <c r="AE870" s="102"/>
    </row>
    <row r="871" spans="1:31" ht="17.100000000000001" customHeight="1" thickBot="1" x14ac:dyDescent="0.3">
      <c r="A871" s="52"/>
      <c r="B871" s="67"/>
      <c r="C871" s="73"/>
      <c r="D871" s="74"/>
      <c r="E871" s="75"/>
      <c r="F871" s="73"/>
      <c r="G871" s="75"/>
      <c r="H871" s="60"/>
      <c r="I871" s="25"/>
      <c r="J871" s="89"/>
      <c r="K871" s="72"/>
      <c r="L871" s="19" t="s">
        <v>52</v>
      </c>
      <c r="M871" s="67"/>
      <c r="N871" s="92"/>
      <c r="O871" s="93"/>
      <c r="P871" s="92"/>
      <c r="Q871" s="93"/>
      <c r="R871" s="92"/>
      <c r="S871" s="95"/>
      <c r="T871" s="33"/>
      <c r="U871" s="79"/>
      <c r="V871" s="82"/>
      <c r="W871" s="82"/>
      <c r="X871" s="82"/>
      <c r="Y871" s="85"/>
      <c r="Z871" s="35"/>
      <c r="AA871" s="30"/>
      <c r="AB871" s="30"/>
      <c r="AC871" s="105"/>
      <c r="AD871" s="106"/>
      <c r="AE871" s="103"/>
    </row>
    <row r="872" spans="1:31" ht="17.100000000000001" customHeight="1" x14ac:dyDescent="0.25">
      <c r="A872" s="50">
        <v>46023</v>
      </c>
      <c r="B872" s="53"/>
      <c r="C872" s="55"/>
      <c r="D872" s="56"/>
      <c r="E872" s="57"/>
      <c r="F872" s="55"/>
      <c r="G872" s="57"/>
      <c r="H872" s="58"/>
      <c r="I872" s="26"/>
      <c r="J872" s="61"/>
      <c r="K872" s="64"/>
      <c r="L872" s="11"/>
      <c r="M872" s="53"/>
      <c r="N872" s="42"/>
      <c r="O872" s="43"/>
      <c r="P872" s="36"/>
      <c r="Q872" s="43"/>
      <c r="R872" s="36"/>
      <c r="S872" s="37"/>
      <c r="T872" s="76">
        <f t="shared" ref="T872" si="270">R872-P872</f>
        <v>0</v>
      </c>
      <c r="U872" s="77"/>
      <c r="V872" s="80"/>
      <c r="W872" s="80"/>
      <c r="X872" s="80"/>
      <c r="Y872" s="83"/>
      <c r="Z872" s="86"/>
      <c r="AA872" s="48"/>
      <c r="AB872" s="48"/>
      <c r="AC872" s="96"/>
      <c r="AD872" s="99"/>
      <c r="AE872" s="101"/>
    </row>
    <row r="873" spans="1:31" ht="17.100000000000001" customHeight="1" x14ac:dyDescent="0.25">
      <c r="A873" s="51"/>
      <c r="B873" s="54"/>
      <c r="C873" s="68"/>
      <c r="D873" s="69"/>
      <c r="E873" s="70"/>
      <c r="F873" s="68"/>
      <c r="G873" s="70"/>
      <c r="H873" s="59"/>
      <c r="I873" s="24"/>
      <c r="J873" s="62"/>
      <c r="K873" s="65"/>
      <c r="L873" s="17"/>
      <c r="M873" s="54"/>
      <c r="N873" s="44"/>
      <c r="O873" s="45"/>
      <c r="P873" s="38"/>
      <c r="Q873" s="45"/>
      <c r="R873" s="38"/>
      <c r="S873" s="39"/>
      <c r="T873" s="32"/>
      <c r="U873" s="78"/>
      <c r="V873" s="81"/>
      <c r="W873" s="81"/>
      <c r="X873" s="81"/>
      <c r="Y873" s="84"/>
      <c r="Z873" s="34"/>
      <c r="AA873" s="29"/>
      <c r="AB873" s="29"/>
      <c r="AC873" s="97"/>
      <c r="AD873" s="100"/>
      <c r="AE873" s="102"/>
    </row>
    <row r="874" spans="1:31" ht="17.100000000000001" customHeight="1" x14ac:dyDescent="0.25">
      <c r="A874" s="51"/>
      <c r="B874" s="66"/>
      <c r="C874" s="68"/>
      <c r="D874" s="69"/>
      <c r="E874" s="70"/>
      <c r="F874" s="68"/>
      <c r="G874" s="70"/>
      <c r="H874" s="59"/>
      <c r="I874" s="27"/>
      <c r="J874" s="63"/>
      <c r="K874" s="71"/>
      <c r="L874" s="18"/>
      <c r="M874" s="66"/>
      <c r="N874" s="46"/>
      <c r="O874" s="47"/>
      <c r="P874" s="40"/>
      <c r="Q874" s="47"/>
      <c r="R874" s="40"/>
      <c r="S874" s="41"/>
      <c r="T874" s="31">
        <f>(P875-P872)+(R872-R875)</f>
        <v>0</v>
      </c>
      <c r="U874" s="78"/>
      <c r="V874" s="81"/>
      <c r="W874" s="81"/>
      <c r="X874" s="81"/>
      <c r="Y874" s="84"/>
      <c r="Z874" s="87"/>
      <c r="AA874" s="49"/>
      <c r="AB874" s="49"/>
      <c r="AC874" s="98"/>
      <c r="AD874" s="104"/>
      <c r="AE874" s="102"/>
    </row>
    <row r="875" spans="1:31" ht="17.100000000000001" customHeight="1" x14ac:dyDescent="0.25">
      <c r="A875" s="51"/>
      <c r="B875" s="54"/>
      <c r="C875" s="68"/>
      <c r="D875" s="69"/>
      <c r="E875" s="70"/>
      <c r="F875" s="68"/>
      <c r="G875" s="70"/>
      <c r="H875" s="59"/>
      <c r="I875" s="23"/>
      <c r="J875" s="88"/>
      <c r="K875" s="65"/>
      <c r="L875" s="18"/>
      <c r="M875" s="54"/>
      <c r="N875" s="90">
        <f>(P872-N872)+(P875-P872)+(R872-R875)</f>
        <v>0</v>
      </c>
      <c r="O875" s="91"/>
      <c r="P875" s="90"/>
      <c r="Q875" s="91"/>
      <c r="R875" s="90"/>
      <c r="S875" s="94"/>
      <c r="T875" s="32"/>
      <c r="U875" s="78"/>
      <c r="V875" s="81"/>
      <c r="W875" s="81"/>
      <c r="X875" s="81"/>
      <c r="Y875" s="84"/>
      <c r="Z875" s="34"/>
      <c r="AA875" s="28"/>
      <c r="AB875" s="28"/>
      <c r="AC875" s="97"/>
      <c r="AD875" s="100"/>
      <c r="AE875" s="102"/>
    </row>
    <row r="876" spans="1:31" ht="17.100000000000001" customHeight="1" x14ac:dyDescent="0.25">
      <c r="A876" s="51"/>
      <c r="B876" s="66"/>
      <c r="C876" s="68"/>
      <c r="D876" s="69"/>
      <c r="E876" s="70"/>
      <c r="F876" s="68"/>
      <c r="G876" s="70"/>
      <c r="H876" s="59"/>
      <c r="I876" s="24"/>
      <c r="J876" s="62"/>
      <c r="K876" s="71" t="s">
        <v>51</v>
      </c>
      <c r="L876" s="16" t="s">
        <v>51</v>
      </c>
      <c r="M876" s="66" t="s">
        <v>51</v>
      </c>
      <c r="N876" s="38"/>
      <c r="O876" s="45"/>
      <c r="P876" s="38"/>
      <c r="Q876" s="45"/>
      <c r="R876" s="38"/>
      <c r="S876" s="39"/>
      <c r="T876" s="31">
        <f t="shared" ref="T876" si="271">R875-P875</f>
        <v>0</v>
      </c>
      <c r="U876" s="78"/>
      <c r="V876" s="81"/>
      <c r="W876" s="81"/>
      <c r="X876" s="81"/>
      <c r="Y876" s="84"/>
      <c r="Z876" s="34"/>
      <c r="AA876" s="29"/>
      <c r="AB876" s="29"/>
      <c r="AC876" s="97"/>
      <c r="AD876" s="104"/>
      <c r="AE876" s="102"/>
    </row>
    <row r="877" spans="1:31" ht="17.100000000000001" customHeight="1" thickBot="1" x14ac:dyDescent="0.3">
      <c r="A877" s="52"/>
      <c r="B877" s="67"/>
      <c r="C877" s="73"/>
      <c r="D877" s="74"/>
      <c r="E877" s="75"/>
      <c r="F877" s="73"/>
      <c r="G877" s="75"/>
      <c r="H877" s="60"/>
      <c r="I877" s="25"/>
      <c r="J877" s="89"/>
      <c r="K877" s="72"/>
      <c r="L877" s="19" t="s">
        <v>52</v>
      </c>
      <c r="M877" s="67"/>
      <c r="N877" s="92"/>
      <c r="O877" s="93"/>
      <c r="P877" s="92"/>
      <c r="Q877" s="93"/>
      <c r="R877" s="92"/>
      <c r="S877" s="95"/>
      <c r="T877" s="33"/>
      <c r="U877" s="79"/>
      <c r="V877" s="82"/>
      <c r="W877" s="82"/>
      <c r="X877" s="82"/>
      <c r="Y877" s="85"/>
      <c r="Z877" s="35"/>
      <c r="AA877" s="30"/>
      <c r="AB877" s="30"/>
      <c r="AC877" s="105"/>
      <c r="AD877" s="106"/>
      <c r="AE877" s="103"/>
    </row>
    <row r="878" spans="1:31" ht="17.100000000000001" customHeight="1" x14ac:dyDescent="0.25">
      <c r="A878" s="50">
        <v>46023</v>
      </c>
      <c r="B878" s="53"/>
      <c r="C878" s="55"/>
      <c r="D878" s="56"/>
      <c r="E878" s="57"/>
      <c r="F878" s="55"/>
      <c r="G878" s="57"/>
      <c r="H878" s="58"/>
      <c r="I878" s="26"/>
      <c r="J878" s="61"/>
      <c r="K878" s="64"/>
      <c r="L878" s="11"/>
      <c r="M878" s="53"/>
      <c r="N878" s="42"/>
      <c r="O878" s="43"/>
      <c r="P878" s="36"/>
      <c r="Q878" s="43"/>
      <c r="R878" s="36"/>
      <c r="S878" s="37"/>
      <c r="T878" s="76">
        <f t="shared" ref="T878" si="272">R878-P878</f>
        <v>0</v>
      </c>
      <c r="U878" s="77"/>
      <c r="V878" s="80"/>
      <c r="W878" s="80"/>
      <c r="X878" s="80"/>
      <c r="Y878" s="83"/>
      <c r="Z878" s="86"/>
      <c r="AA878" s="48"/>
      <c r="AB878" s="48"/>
      <c r="AC878" s="96"/>
      <c r="AD878" s="99"/>
      <c r="AE878" s="101"/>
    </row>
    <row r="879" spans="1:31" ht="17.100000000000001" customHeight="1" x14ac:dyDescent="0.25">
      <c r="A879" s="51"/>
      <c r="B879" s="54"/>
      <c r="C879" s="68"/>
      <c r="D879" s="69"/>
      <c r="E879" s="70"/>
      <c r="F879" s="68"/>
      <c r="G879" s="70"/>
      <c r="H879" s="59"/>
      <c r="I879" s="24"/>
      <c r="J879" s="62"/>
      <c r="K879" s="65"/>
      <c r="L879" s="17"/>
      <c r="M879" s="54"/>
      <c r="N879" s="44"/>
      <c r="O879" s="45"/>
      <c r="P879" s="38"/>
      <c r="Q879" s="45"/>
      <c r="R879" s="38"/>
      <c r="S879" s="39"/>
      <c r="T879" s="32"/>
      <c r="U879" s="78"/>
      <c r="V879" s="81"/>
      <c r="W879" s="81"/>
      <c r="X879" s="81"/>
      <c r="Y879" s="84"/>
      <c r="Z879" s="34"/>
      <c r="AA879" s="29"/>
      <c r="AB879" s="29"/>
      <c r="AC879" s="97"/>
      <c r="AD879" s="100"/>
      <c r="AE879" s="102"/>
    </row>
    <row r="880" spans="1:31" ht="17.100000000000001" customHeight="1" x14ac:dyDescent="0.25">
      <c r="A880" s="51"/>
      <c r="B880" s="66"/>
      <c r="C880" s="68"/>
      <c r="D880" s="69"/>
      <c r="E880" s="70"/>
      <c r="F880" s="68"/>
      <c r="G880" s="70"/>
      <c r="H880" s="59"/>
      <c r="I880" s="27"/>
      <c r="J880" s="63"/>
      <c r="K880" s="71"/>
      <c r="L880" s="18"/>
      <c r="M880" s="66"/>
      <c r="N880" s="46"/>
      <c r="O880" s="47"/>
      <c r="P880" s="40"/>
      <c r="Q880" s="47"/>
      <c r="R880" s="40"/>
      <c r="S880" s="41"/>
      <c r="T880" s="31">
        <f>(P881-P878)+(R878-R881)</f>
        <v>0</v>
      </c>
      <c r="U880" s="78"/>
      <c r="V880" s="81"/>
      <c r="W880" s="81"/>
      <c r="X880" s="81"/>
      <c r="Y880" s="84"/>
      <c r="Z880" s="87"/>
      <c r="AA880" s="49"/>
      <c r="AB880" s="49"/>
      <c r="AC880" s="98"/>
      <c r="AD880" s="104"/>
      <c r="AE880" s="102"/>
    </row>
    <row r="881" spans="1:31" ht="17.100000000000001" customHeight="1" x14ac:dyDescent="0.25">
      <c r="A881" s="51"/>
      <c r="B881" s="54"/>
      <c r="C881" s="68"/>
      <c r="D881" s="69"/>
      <c r="E881" s="70"/>
      <c r="F881" s="68"/>
      <c r="G881" s="70"/>
      <c r="H881" s="59"/>
      <c r="I881" s="23"/>
      <c r="J881" s="88"/>
      <c r="K881" s="65"/>
      <c r="L881" s="18"/>
      <c r="M881" s="54"/>
      <c r="N881" s="90">
        <f>(P878-N878)+(P881-P878)+(R878-R881)</f>
        <v>0</v>
      </c>
      <c r="O881" s="91"/>
      <c r="P881" s="90"/>
      <c r="Q881" s="91"/>
      <c r="R881" s="90"/>
      <c r="S881" s="94"/>
      <c r="T881" s="32"/>
      <c r="U881" s="78"/>
      <c r="V881" s="81"/>
      <c r="W881" s="81"/>
      <c r="X881" s="81"/>
      <c r="Y881" s="84"/>
      <c r="Z881" s="34"/>
      <c r="AA881" s="28"/>
      <c r="AB881" s="28"/>
      <c r="AC881" s="97"/>
      <c r="AD881" s="100"/>
      <c r="AE881" s="102"/>
    </row>
    <row r="882" spans="1:31" ht="17.100000000000001" customHeight="1" x14ac:dyDescent="0.25">
      <c r="A882" s="51"/>
      <c r="B882" s="66"/>
      <c r="C882" s="68"/>
      <c r="D882" s="69"/>
      <c r="E882" s="70"/>
      <c r="F882" s="68"/>
      <c r="G882" s="70"/>
      <c r="H882" s="59"/>
      <c r="I882" s="24"/>
      <c r="J882" s="62"/>
      <c r="K882" s="71" t="s">
        <v>51</v>
      </c>
      <c r="L882" s="16" t="s">
        <v>51</v>
      </c>
      <c r="M882" s="66" t="s">
        <v>51</v>
      </c>
      <c r="N882" s="38"/>
      <c r="O882" s="45"/>
      <c r="P882" s="38"/>
      <c r="Q882" s="45"/>
      <c r="R882" s="38"/>
      <c r="S882" s="39"/>
      <c r="T882" s="31">
        <f t="shared" ref="T882" si="273">R881-P881</f>
        <v>0</v>
      </c>
      <c r="U882" s="78"/>
      <c r="V882" s="81"/>
      <c r="W882" s="81"/>
      <c r="X882" s="81"/>
      <c r="Y882" s="84"/>
      <c r="Z882" s="34"/>
      <c r="AA882" s="29"/>
      <c r="AB882" s="29"/>
      <c r="AC882" s="97"/>
      <c r="AD882" s="104"/>
      <c r="AE882" s="102"/>
    </row>
    <row r="883" spans="1:31" ht="17.100000000000001" customHeight="1" thickBot="1" x14ac:dyDescent="0.3">
      <c r="A883" s="52"/>
      <c r="B883" s="67"/>
      <c r="C883" s="73"/>
      <c r="D883" s="74"/>
      <c r="E883" s="75"/>
      <c r="F883" s="73"/>
      <c r="G883" s="75"/>
      <c r="H883" s="60"/>
      <c r="I883" s="25"/>
      <c r="J883" s="89"/>
      <c r="K883" s="72"/>
      <c r="L883" s="19" t="s">
        <v>52</v>
      </c>
      <c r="M883" s="67"/>
      <c r="N883" s="92"/>
      <c r="O883" s="93"/>
      <c r="P883" s="92"/>
      <c r="Q883" s="93"/>
      <c r="R883" s="92"/>
      <c r="S883" s="95"/>
      <c r="T883" s="33"/>
      <c r="U883" s="79"/>
      <c r="V883" s="82"/>
      <c r="W883" s="82"/>
      <c r="X883" s="82"/>
      <c r="Y883" s="85"/>
      <c r="Z883" s="35"/>
      <c r="AA883" s="30"/>
      <c r="AB883" s="30"/>
      <c r="AC883" s="105"/>
      <c r="AD883" s="106"/>
      <c r="AE883" s="103"/>
    </row>
    <row r="884" spans="1:31" ht="17.100000000000001" customHeight="1" x14ac:dyDescent="0.25">
      <c r="A884" s="50">
        <v>46023</v>
      </c>
      <c r="B884" s="53"/>
      <c r="C884" s="55"/>
      <c r="D884" s="56"/>
      <c r="E884" s="57"/>
      <c r="F884" s="55"/>
      <c r="G884" s="57"/>
      <c r="H884" s="58"/>
      <c r="I884" s="26"/>
      <c r="J884" s="61"/>
      <c r="K884" s="64"/>
      <c r="L884" s="11"/>
      <c r="M884" s="53"/>
      <c r="N884" s="42"/>
      <c r="O884" s="43"/>
      <c r="P884" s="36"/>
      <c r="Q884" s="43"/>
      <c r="R884" s="36"/>
      <c r="S884" s="37"/>
      <c r="T884" s="76">
        <f t="shared" ref="T884" si="274">R884-P884</f>
        <v>0</v>
      </c>
      <c r="U884" s="77"/>
      <c r="V884" s="80"/>
      <c r="W884" s="80"/>
      <c r="X884" s="80"/>
      <c r="Y884" s="83"/>
      <c r="Z884" s="86"/>
      <c r="AA884" s="48"/>
      <c r="AB884" s="48"/>
      <c r="AC884" s="96"/>
      <c r="AD884" s="99"/>
      <c r="AE884" s="101"/>
    </row>
    <row r="885" spans="1:31" ht="17.100000000000001" customHeight="1" x14ac:dyDescent="0.25">
      <c r="A885" s="51"/>
      <c r="B885" s="54"/>
      <c r="C885" s="68"/>
      <c r="D885" s="69"/>
      <c r="E885" s="70"/>
      <c r="F885" s="68"/>
      <c r="G885" s="70"/>
      <c r="H885" s="59"/>
      <c r="I885" s="24"/>
      <c r="J885" s="62"/>
      <c r="K885" s="65"/>
      <c r="L885" s="17"/>
      <c r="M885" s="54"/>
      <c r="N885" s="44"/>
      <c r="O885" s="45"/>
      <c r="P885" s="38"/>
      <c r="Q885" s="45"/>
      <c r="R885" s="38"/>
      <c r="S885" s="39"/>
      <c r="T885" s="32"/>
      <c r="U885" s="78"/>
      <c r="V885" s="81"/>
      <c r="W885" s="81"/>
      <c r="X885" s="81"/>
      <c r="Y885" s="84"/>
      <c r="Z885" s="34"/>
      <c r="AA885" s="29"/>
      <c r="AB885" s="29"/>
      <c r="AC885" s="97"/>
      <c r="AD885" s="100"/>
      <c r="AE885" s="102"/>
    </row>
    <row r="886" spans="1:31" ht="17.100000000000001" customHeight="1" x14ac:dyDescent="0.25">
      <c r="A886" s="51"/>
      <c r="B886" s="66"/>
      <c r="C886" s="68"/>
      <c r="D886" s="69"/>
      <c r="E886" s="70"/>
      <c r="F886" s="68"/>
      <c r="G886" s="70"/>
      <c r="H886" s="59"/>
      <c r="I886" s="27"/>
      <c r="J886" s="63"/>
      <c r="K886" s="71"/>
      <c r="L886" s="18"/>
      <c r="M886" s="66"/>
      <c r="N886" s="46"/>
      <c r="O886" s="47"/>
      <c r="P886" s="40"/>
      <c r="Q886" s="47"/>
      <c r="R886" s="40"/>
      <c r="S886" s="41"/>
      <c r="T886" s="31">
        <f>(P887-P884)+(R884-R887)</f>
        <v>0</v>
      </c>
      <c r="U886" s="78"/>
      <c r="V886" s="81"/>
      <c r="W886" s="81"/>
      <c r="X886" s="81"/>
      <c r="Y886" s="84"/>
      <c r="Z886" s="87"/>
      <c r="AA886" s="49"/>
      <c r="AB886" s="49"/>
      <c r="AC886" s="98"/>
      <c r="AD886" s="104"/>
      <c r="AE886" s="102"/>
    </row>
    <row r="887" spans="1:31" ht="17.100000000000001" customHeight="1" x14ac:dyDescent="0.25">
      <c r="A887" s="51"/>
      <c r="B887" s="54"/>
      <c r="C887" s="68"/>
      <c r="D887" s="69"/>
      <c r="E887" s="70"/>
      <c r="F887" s="68"/>
      <c r="G887" s="70"/>
      <c r="H887" s="59"/>
      <c r="I887" s="23"/>
      <c r="J887" s="88"/>
      <c r="K887" s="65"/>
      <c r="L887" s="18"/>
      <c r="M887" s="54"/>
      <c r="N887" s="90">
        <f>(P884-N884)+(P887-P884)+(R884-R887)</f>
        <v>0</v>
      </c>
      <c r="O887" s="91"/>
      <c r="P887" s="90"/>
      <c r="Q887" s="91"/>
      <c r="R887" s="90"/>
      <c r="S887" s="94"/>
      <c r="T887" s="32"/>
      <c r="U887" s="78"/>
      <c r="V887" s="81"/>
      <c r="W887" s="81"/>
      <c r="X887" s="81"/>
      <c r="Y887" s="84"/>
      <c r="Z887" s="34"/>
      <c r="AA887" s="28"/>
      <c r="AB887" s="28"/>
      <c r="AC887" s="97"/>
      <c r="AD887" s="100"/>
      <c r="AE887" s="102"/>
    </row>
    <row r="888" spans="1:31" ht="17.100000000000001" customHeight="1" x14ac:dyDescent="0.25">
      <c r="A888" s="51"/>
      <c r="B888" s="66"/>
      <c r="C888" s="68"/>
      <c r="D888" s="69"/>
      <c r="E888" s="70"/>
      <c r="F888" s="68"/>
      <c r="G888" s="70"/>
      <c r="H888" s="59"/>
      <c r="I888" s="24"/>
      <c r="J888" s="62"/>
      <c r="K888" s="71" t="s">
        <v>51</v>
      </c>
      <c r="L888" s="16" t="s">
        <v>51</v>
      </c>
      <c r="M888" s="66" t="s">
        <v>51</v>
      </c>
      <c r="N888" s="38"/>
      <c r="O888" s="45"/>
      <c r="P888" s="38"/>
      <c r="Q888" s="45"/>
      <c r="R888" s="38"/>
      <c r="S888" s="39"/>
      <c r="T888" s="31">
        <f t="shared" ref="T888" si="275">R887-P887</f>
        <v>0</v>
      </c>
      <c r="U888" s="78"/>
      <c r="V888" s="81"/>
      <c r="W888" s="81"/>
      <c r="X888" s="81"/>
      <c r="Y888" s="84"/>
      <c r="Z888" s="34"/>
      <c r="AA888" s="29"/>
      <c r="AB888" s="29"/>
      <c r="AC888" s="97"/>
      <c r="AD888" s="104"/>
      <c r="AE888" s="102"/>
    </row>
    <row r="889" spans="1:31" ht="17.100000000000001" customHeight="1" thickBot="1" x14ac:dyDescent="0.3">
      <c r="A889" s="52"/>
      <c r="B889" s="67"/>
      <c r="C889" s="73"/>
      <c r="D889" s="74"/>
      <c r="E889" s="75"/>
      <c r="F889" s="73"/>
      <c r="G889" s="75"/>
      <c r="H889" s="60"/>
      <c r="I889" s="25"/>
      <c r="J889" s="89"/>
      <c r="K889" s="72"/>
      <c r="L889" s="19" t="s">
        <v>52</v>
      </c>
      <c r="M889" s="67"/>
      <c r="N889" s="92"/>
      <c r="O889" s="93"/>
      <c r="P889" s="92"/>
      <c r="Q889" s="93"/>
      <c r="R889" s="92"/>
      <c r="S889" s="95"/>
      <c r="T889" s="33"/>
      <c r="U889" s="79"/>
      <c r="V889" s="82"/>
      <c r="W889" s="82"/>
      <c r="X889" s="82"/>
      <c r="Y889" s="85"/>
      <c r="Z889" s="35"/>
      <c r="AA889" s="30"/>
      <c r="AB889" s="30"/>
      <c r="AC889" s="105"/>
      <c r="AD889" s="106"/>
      <c r="AE889" s="103"/>
    </row>
    <row r="890" spans="1:31" ht="17.100000000000001" customHeight="1" x14ac:dyDescent="0.25">
      <c r="A890" s="50">
        <v>46023</v>
      </c>
      <c r="B890" s="53"/>
      <c r="C890" s="55"/>
      <c r="D890" s="56"/>
      <c r="E890" s="57"/>
      <c r="F890" s="55"/>
      <c r="G890" s="57"/>
      <c r="H890" s="58"/>
      <c r="I890" s="26"/>
      <c r="J890" s="61"/>
      <c r="K890" s="64"/>
      <c r="L890" s="11"/>
      <c r="M890" s="53"/>
      <c r="N890" s="42"/>
      <c r="O890" s="43"/>
      <c r="P890" s="36"/>
      <c r="Q890" s="43"/>
      <c r="R890" s="36"/>
      <c r="S890" s="37"/>
      <c r="T890" s="76">
        <f t="shared" ref="T890" si="276">R890-P890</f>
        <v>0</v>
      </c>
      <c r="U890" s="77"/>
      <c r="V890" s="80"/>
      <c r="W890" s="80"/>
      <c r="X890" s="80"/>
      <c r="Y890" s="83"/>
      <c r="Z890" s="86"/>
      <c r="AA890" s="48"/>
      <c r="AB890" s="48"/>
      <c r="AC890" s="96"/>
      <c r="AD890" s="99"/>
      <c r="AE890" s="101"/>
    </row>
    <row r="891" spans="1:31" ht="17.100000000000001" customHeight="1" x14ac:dyDescent="0.25">
      <c r="A891" s="51"/>
      <c r="B891" s="54"/>
      <c r="C891" s="68"/>
      <c r="D891" s="69"/>
      <c r="E891" s="70"/>
      <c r="F891" s="68"/>
      <c r="G891" s="70"/>
      <c r="H891" s="59"/>
      <c r="I891" s="24"/>
      <c r="J891" s="62"/>
      <c r="K891" s="65"/>
      <c r="L891" s="17"/>
      <c r="M891" s="54"/>
      <c r="N891" s="44"/>
      <c r="O891" s="45"/>
      <c r="P891" s="38"/>
      <c r="Q891" s="45"/>
      <c r="R891" s="38"/>
      <c r="S891" s="39"/>
      <c r="T891" s="32"/>
      <c r="U891" s="78"/>
      <c r="V891" s="81"/>
      <c r="W891" s="81"/>
      <c r="X891" s="81"/>
      <c r="Y891" s="84"/>
      <c r="Z891" s="34"/>
      <c r="AA891" s="29"/>
      <c r="AB891" s="29"/>
      <c r="AC891" s="97"/>
      <c r="AD891" s="100"/>
      <c r="AE891" s="102"/>
    </row>
    <row r="892" spans="1:31" ht="17.100000000000001" customHeight="1" x14ac:dyDescent="0.25">
      <c r="A892" s="51"/>
      <c r="B892" s="66"/>
      <c r="C892" s="68"/>
      <c r="D892" s="69"/>
      <c r="E892" s="70"/>
      <c r="F892" s="68"/>
      <c r="G892" s="70"/>
      <c r="H892" s="59"/>
      <c r="I892" s="27"/>
      <c r="J892" s="63"/>
      <c r="K892" s="71"/>
      <c r="L892" s="18"/>
      <c r="M892" s="66"/>
      <c r="N892" s="46"/>
      <c r="O892" s="47"/>
      <c r="P892" s="40"/>
      <c r="Q892" s="47"/>
      <c r="R892" s="40"/>
      <c r="S892" s="41"/>
      <c r="T892" s="31">
        <f>(P893-P890)+(R890-R893)</f>
        <v>0</v>
      </c>
      <c r="U892" s="78"/>
      <c r="V892" s="81"/>
      <c r="W892" s="81"/>
      <c r="X892" s="81"/>
      <c r="Y892" s="84"/>
      <c r="Z892" s="87"/>
      <c r="AA892" s="49"/>
      <c r="AB892" s="49"/>
      <c r="AC892" s="98"/>
      <c r="AD892" s="104"/>
      <c r="AE892" s="102"/>
    </row>
    <row r="893" spans="1:31" ht="17.100000000000001" customHeight="1" x14ac:dyDescent="0.25">
      <c r="A893" s="51"/>
      <c r="B893" s="54"/>
      <c r="C893" s="68"/>
      <c r="D893" s="69"/>
      <c r="E893" s="70"/>
      <c r="F893" s="68"/>
      <c r="G893" s="70"/>
      <c r="H893" s="59"/>
      <c r="I893" s="23"/>
      <c r="J893" s="88"/>
      <c r="K893" s="65"/>
      <c r="L893" s="18"/>
      <c r="M893" s="54"/>
      <c r="N893" s="90">
        <f>(P890-N890)+(P893-P890)+(R890-R893)</f>
        <v>0</v>
      </c>
      <c r="O893" s="91"/>
      <c r="P893" s="90"/>
      <c r="Q893" s="91"/>
      <c r="R893" s="90"/>
      <c r="S893" s="94"/>
      <c r="T893" s="32"/>
      <c r="U893" s="78"/>
      <c r="V893" s="81"/>
      <c r="W893" s="81"/>
      <c r="X893" s="81"/>
      <c r="Y893" s="84"/>
      <c r="Z893" s="34"/>
      <c r="AA893" s="28"/>
      <c r="AB893" s="28"/>
      <c r="AC893" s="97"/>
      <c r="AD893" s="100"/>
      <c r="AE893" s="102"/>
    </row>
    <row r="894" spans="1:31" ht="17.100000000000001" customHeight="1" x14ac:dyDescent="0.25">
      <c r="A894" s="51"/>
      <c r="B894" s="66"/>
      <c r="C894" s="68"/>
      <c r="D894" s="69"/>
      <c r="E894" s="70"/>
      <c r="F894" s="68"/>
      <c r="G894" s="70"/>
      <c r="H894" s="59"/>
      <c r="I894" s="24"/>
      <c r="J894" s="62"/>
      <c r="K894" s="71" t="s">
        <v>51</v>
      </c>
      <c r="L894" s="16" t="s">
        <v>51</v>
      </c>
      <c r="M894" s="66" t="s">
        <v>51</v>
      </c>
      <c r="N894" s="38"/>
      <c r="O894" s="45"/>
      <c r="P894" s="38"/>
      <c r="Q894" s="45"/>
      <c r="R894" s="38"/>
      <c r="S894" s="39"/>
      <c r="T894" s="31">
        <f t="shared" ref="T894" si="277">R893-P893</f>
        <v>0</v>
      </c>
      <c r="U894" s="78"/>
      <c r="V894" s="81"/>
      <c r="W894" s="81"/>
      <c r="X894" s="81"/>
      <c r="Y894" s="84"/>
      <c r="Z894" s="34"/>
      <c r="AA894" s="29"/>
      <c r="AB894" s="29"/>
      <c r="AC894" s="97"/>
      <c r="AD894" s="104"/>
      <c r="AE894" s="102"/>
    </row>
    <row r="895" spans="1:31" ht="17.100000000000001" customHeight="1" thickBot="1" x14ac:dyDescent="0.3">
      <c r="A895" s="52"/>
      <c r="B895" s="67"/>
      <c r="C895" s="73"/>
      <c r="D895" s="74"/>
      <c r="E895" s="75"/>
      <c r="F895" s="73"/>
      <c r="G895" s="75"/>
      <c r="H895" s="60"/>
      <c r="I895" s="25"/>
      <c r="J895" s="89"/>
      <c r="K895" s="72"/>
      <c r="L895" s="19" t="s">
        <v>52</v>
      </c>
      <c r="M895" s="67"/>
      <c r="N895" s="92"/>
      <c r="O895" s="93"/>
      <c r="P895" s="92"/>
      <c r="Q895" s="93"/>
      <c r="R895" s="92"/>
      <c r="S895" s="95"/>
      <c r="T895" s="33"/>
      <c r="U895" s="79"/>
      <c r="V895" s="82"/>
      <c r="W895" s="82"/>
      <c r="X895" s="82"/>
      <c r="Y895" s="85"/>
      <c r="Z895" s="35"/>
      <c r="AA895" s="30"/>
      <c r="AB895" s="30"/>
      <c r="AC895" s="105"/>
      <c r="AD895" s="106"/>
      <c r="AE895" s="103"/>
    </row>
    <row r="897" spans="1:31" ht="17.100000000000001" customHeight="1" thickBot="1" x14ac:dyDescent="0.3"/>
    <row r="898" spans="1:31" ht="17.100000000000001" customHeight="1" x14ac:dyDescent="0.25">
      <c r="A898" s="50">
        <v>46023</v>
      </c>
      <c r="B898" s="53"/>
      <c r="C898" s="55"/>
      <c r="D898" s="56"/>
      <c r="E898" s="57"/>
      <c r="F898" s="55"/>
      <c r="G898" s="57"/>
      <c r="H898" s="58"/>
      <c r="I898" s="26"/>
      <c r="J898" s="61"/>
      <c r="K898" s="64"/>
      <c r="L898" s="11"/>
      <c r="M898" s="53"/>
      <c r="N898" s="42"/>
      <c r="O898" s="43"/>
      <c r="P898" s="36"/>
      <c r="Q898" s="43"/>
      <c r="R898" s="36"/>
      <c r="S898" s="37"/>
      <c r="T898" s="76">
        <f t="shared" ref="T898" si="278">R898-P898</f>
        <v>0</v>
      </c>
      <c r="U898" s="77"/>
      <c r="V898" s="80"/>
      <c r="W898" s="80"/>
      <c r="X898" s="80"/>
      <c r="Y898" s="83"/>
      <c r="Z898" s="86"/>
      <c r="AA898" s="48"/>
      <c r="AB898" s="48"/>
      <c r="AC898" s="96"/>
      <c r="AD898" s="99"/>
      <c r="AE898" s="101"/>
    </row>
    <row r="899" spans="1:31" ht="17.100000000000001" customHeight="1" x14ac:dyDescent="0.25">
      <c r="A899" s="51"/>
      <c r="B899" s="54"/>
      <c r="C899" s="68"/>
      <c r="D899" s="69"/>
      <c r="E899" s="70"/>
      <c r="F899" s="68"/>
      <c r="G899" s="70"/>
      <c r="H899" s="59"/>
      <c r="I899" s="24"/>
      <c r="J899" s="62"/>
      <c r="K899" s="65"/>
      <c r="L899" s="17"/>
      <c r="M899" s="54"/>
      <c r="N899" s="44"/>
      <c r="O899" s="45"/>
      <c r="P899" s="38"/>
      <c r="Q899" s="45"/>
      <c r="R899" s="38"/>
      <c r="S899" s="39"/>
      <c r="T899" s="32"/>
      <c r="U899" s="78"/>
      <c r="V899" s="81"/>
      <c r="W899" s="81"/>
      <c r="X899" s="81"/>
      <c r="Y899" s="84"/>
      <c r="Z899" s="34"/>
      <c r="AA899" s="29"/>
      <c r="AB899" s="29"/>
      <c r="AC899" s="97"/>
      <c r="AD899" s="100"/>
      <c r="AE899" s="102"/>
    </row>
    <row r="900" spans="1:31" ht="17.100000000000001" customHeight="1" x14ac:dyDescent="0.25">
      <c r="A900" s="51"/>
      <c r="B900" s="66"/>
      <c r="C900" s="68"/>
      <c r="D900" s="69"/>
      <c r="E900" s="70"/>
      <c r="F900" s="68"/>
      <c r="G900" s="70"/>
      <c r="H900" s="59"/>
      <c r="I900" s="27"/>
      <c r="J900" s="63"/>
      <c r="K900" s="71"/>
      <c r="L900" s="18"/>
      <c r="M900" s="66"/>
      <c r="N900" s="46"/>
      <c r="O900" s="47"/>
      <c r="P900" s="40"/>
      <c r="Q900" s="47"/>
      <c r="R900" s="40"/>
      <c r="S900" s="41"/>
      <c r="T900" s="31">
        <f>(P901-P898)+(R898-R901)</f>
        <v>0</v>
      </c>
      <c r="U900" s="78"/>
      <c r="V900" s="81"/>
      <c r="W900" s="81"/>
      <c r="X900" s="81"/>
      <c r="Y900" s="84"/>
      <c r="Z900" s="87"/>
      <c r="AA900" s="49"/>
      <c r="AB900" s="49"/>
      <c r="AC900" s="98"/>
      <c r="AD900" s="104"/>
      <c r="AE900" s="102"/>
    </row>
    <row r="901" spans="1:31" ht="17.100000000000001" customHeight="1" x14ac:dyDescent="0.25">
      <c r="A901" s="51"/>
      <c r="B901" s="54"/>
      <c r="C901" s="68"/>
      <c r="D901" s="69"/>
      <c r="E901" s="70"/>
      <c r="F901" s="68"/>
      <c r="G901" s="70"/>
      <c r="H901" s="59"/>
      <c r="I901" s="23"/>
      <c r="J901" s="88"/>
      <c r="K901" s="65"/>
      <c r="L901" s="18"/>
      <c r="M901" s="54"/>
      <c r="N901" s="90">
        <f>(P898-N898)+(P901-P898)+(R898-R901)</f>
        <v>0</v>
      </c>
      <c r="O901" s="91"/>
      <c r="P901" s="90"/>
      <c r="Q901" s="91"/>
      <c r="R901" s="90"/>
      <c r="S901" s="94"/>
      <c r="T901" s="32"/>
      <c r="U901" s="78"/>
      <c r="V901" s="81"/>
      <c r="W901" s="81"/>
      <c r="X901" s="81"/>
      <c r="Y901" s="84"/>
      <c r="Z901" s="34"/>
      <c r="AA901" s="28"/>
      <c r="AB901" s="28"/>
      <c r="AC901" s="97"/>
      <c r="AD901" s="100"/>
      <c r="AE901" s="102"/>
    </row>
    <row r="902" spans="1:31" ht="17.100000000000001" customHeight="1" x14ac:dyDescent="0.25">
      <c r="A902" s="51"/>
      <c r="B902" s="66"/>
      <c r="C902" s="68"/>
      <c r="D902" s="69"/>
      <c r="E902" s="70"/>
      <c r="F902" s="68"/>
      <c r="G902" s="70"/>
      <c r="H902" s="59"/>
      <c r="I902" s="24"/>
      <c r="J902" s="62"/>
      <c r="K902" s="71" t="s">
        <v>51</v>
      </c>
      <c r="L902" s="16" t="s">
        <v>51</v>
      </c>
      <c r="M902" s="66" t="s">
        <v>51</v>
      </c>
      <c r="N902" s="38"/>
      <c r="O902" s="45"/>
      <c r="P902" s="38"/>
      <c r="Q902" s="45"/>
      <c r="R902" s="38"/>
      <c r="S902" s="39"/>
      <c r="T902" s="31">
        <f t="shared" ref="T902" si="279">R901-P901</f>
        <v>0</v>
      </c>
      <c r="U902" s="78"/>
      <c r="V902" s="81"/>
      <c r="W902" s="81"/>
      <c r="X902" s="81"/>
      <c r="Y902" s="84"/>
      <c r="Z902" s="34"/>
      <c r="AA902" s="29"/>
      <c r="AB902" s="29"/>
      <c r="AC902" s="97"/>
      <c r="AD902" s="104"/>
      <c r="AE902" s="102"/>
    </row>
    <row r="903" spans="1:31" ht="17.100000000000001" customHeight="1" thickBot="1" x14ac:dyDescent="0.3">
      <c r="A903" s="52"/>
      <c r="B903" s="67"/>
      <c r="C903" s="73"/>
      <c r="D903" s="74"/>
      <c r="E903" s="75"/>
      <c r="F903" s="73"/>
      <c r="G903" s="75"/>
      <c r="H903" s="60"/>
      <c r="I903" s="25"/>
      <c r="J903" s="89"/>
      <c r="K903" s="72"/>
      <c r="L903" s="19" t="s">
        <v>52</v>
      </c>
      <c r="M903" s="67"/>
      <c r="N903" s="92"/>
      <c r="O903" s="93"/>
      <c r="P903" s="92"/>
      <c r="Q903" s="93"/>
      <c r="R903" s="92"/>
      <c r="S903" s="95"/>
      <c r="T903" s="33"/>
      <c r="U903" s="79"/>
      <c r="V903" s="82"/>
      <c r="W903" s="82"/>
      <c r="X903" s="82"/>
      <c r="Y903" s="85"/>
      <c r="Z903" s="35"/>
      <c r="AA903" s="30"/>
      <c r="AB903" s="30"/>
      <c r="AC903" s="105"/>
      <c r="AD903" s="106"/>
      <c r="AE903" s="103"/>
    </row>
    <row r="904" spans="1:31" ht="17.100000000000001" customHeight="1" x14ac:dyDescent="0.25">
      <c r="A904" s="50">
        <v>46023</v>
      </c>
      <c r="B904" s="53"/>
      <c r="C904" s="55"/>
      <c r="D904" s="56"/>
      <c r="E904" s="57"/>
      <c r="F904" s="55"/>
      <c r="G904" s="57"/>
      <c r="H904" s="58"/>
      <c r="I904" s="26"/>
      <c r="J904" s="61"/>
      <c r="K904" s="64"/>
      <c r="L904" s="11"/>
      <c r="M904" s="53"/>
      <c r="N904" s="42"/>
      <c r="O904" s="43"/>
      <c r="P904" s="36"/>
      <c r="Q904" s="43"/>
      <c r="R904" s="36"/>
      <c r="S904" s="37"/>
      <c r="T904" s="76">
        <f t="shared" ref="T904" si="280">R904-P904</f>
        <v>0</v>
      </c>
      <c r="U904" s="77"/>
      <c r="V904" s="80"/>
      <c r="W904" s="80"/>
      <c r="X904" s="80"/>
      <c r="Y904" s="83"/>
      <c r="Z904" s="86"/>
      <c r="AA904" s="48"/>
      <c r="AB904" s="48"/>
      <c r="AC904" s="96"/>
      <c r="AD904" s="99"/>
      <c r="AE904" s="101"/>
    </row>
    <row r="905" spans="1:31" ht="17.100000000000001" customHeight="1" x14ac:dyDescent="0.25">
      <c r="A905" s="51"/>
      <c r="B905" s="54"/>
      <c r="C905" s="68"/>
      <c r="D905" s="69"/>
      <c r="E905" s="70"/>
      <c r="F905" s="68"/>
      <c r="G905" s="70"/>
      <c r="H905" s="59"/>
      <c r="I905" s="24"/>
      <c r="J905" s="62"/>
      <c r="K905" s="65"/>
      <c r="L905" s="17"/>
      <c r="M905" s="54"/>
      <c r="N905" s="44"/>
      <c r="O905" s="45"/>
      <c r="P905" s="38"/>
      <c r="Q905" s="45"/>
      <c r="R905" s="38"/>
      <c r="S905" s="39"/>
      <c r="T905" s="32"/>
      <c r="U905" s="78"/>
      <c r="V905" s="81"/>
      <c r="W905" s="81"/>
      <c r="X905" s="81"/>
      <c r="Y905" s="84"/>
      <c r="Z905" s="34"/>
      <c r="AA905" s="29"/>
      <c r="AB905" s="29"/>
      <c r="AC905" s="97"/>
      <c r="AD905" s="100"/>
      <c r="AE905" s="102"/>
    </row>
    <row r="906" spans="1:31" ht="17.100000000000001" customHeight="1" x14ac:dyDescent="0.25">
      <c r="A906" s="51"/>
      <c r="B906" s="66"/>
      <c r="C906" s="68"/>
      <c r="D906" s="69"/>
      <c r="E906" s="70"/>
      <c r="F906" s="68"/>
      <c r="G906" s="70"/>
      <c r="H906" s="59"/>
      <c r="I906" s="27"/>
      <c r="J906" s="63"/>
      <c r="K906" s="71"/>
      <c r="L906" s="18"/>
      <c r="M906" s="66"/>
      <c r="N906" s="46"/>
      <c r="O906" s="47"/>
      <c r="P906" s="40"/>
      <c r="Q906" s="47"/>
      <c r="R906" s="40"/>
      <c r="S906" s="41"/>
      <c r="T906" s="31">
        <f>(P907-P904)+(R904-R907)</f>
        <v>0</v>
      </c>
      <c r="U906" s="78"/>
      <c r="V906" s="81"/>
      <c r="W906" s="81"/>
      <c r="X906" s="81"/>
      <c r="Y906" s="84"/>
      <c r="Z906" s="87"/>
      <c r="AA906" s="49"/>
      <c r="AB906" s="49"/>
      <c r="AC906" s="98"/>
      <c r="AD906" s="104"/>
      <c r="AE906" s="102"/>
    </row>
    <row r="907" spans="1:31" ht="17.100000000000001" customHeight="1" x14ac:dyDescent="0.25">
      <c r="A907" s="51"/>
      <c r="B907" s="54"/>
      <c r="C907" s="68"/>
      <c r="D907" s="69"/>
      <c r="E907" s="70"/>
      <c r="F907" s="68"/>
      <c r="G907" s="70"/>
      <c r="H907" s="59"/>
      <c r="I907" s="23"/>
      <c r="J907" s="88"/>
      <c r="K907" s="65"/>
      <c r="L907" s="18"/>
      <c r="M907" s="54"/>
      <c r="N907" s="90">
        <f>(P904-N904)+(P907-P904)+(R904-R907)</f>
        <v>0</v>
      </c>
      <c r="O907" s="91"/>
      <c r="P907" s="90"/>
      <c r="Q907" s="91"/>
      <c r="R907" s="90"/>
      <c r="S907" s="94"/>
      <c r="T907" s="32"/>
      <c r="U907" s="78"/>
      <c r="V907" s="81"/>
      <c r="W907" s="81"/>
      <c r="X907" s="81"/>
      <c r="Y907" s="84"/>
      <c r="Z907" s="34"/>
      <c r="AA907" s="28"/>
      <c r="AB907" s="28"/>
      <c r="AC907" s="97"/>
      <c r="AD907" s="100"/>
      <c r="AE907" s="102"/>
    </row>
    <row r="908" spans="1:31" ht="17.100000000000001" customHeight="1" x14ac:dyDescent="0.25">
      <c r="A908" s="51"/>
      <c r="B908" s="66"/>
      <c r="C908" s="68"/>
      <c r="D908" s="69"/>
      <c r="E908" s="70"/>
      <c r="F908" s="68"/>
      <c r="G908" s="70"/>
      <c r="H908" s="59"/>
      <c r="I908" s="24"/>
      <c r="J908" s="62"/>
      <c r="K908" s="71" t="s">
        <v>51</v>
      </c>
      <c r="L908" s="16" t="s">
        <v>51</v>
      </c>
      <c r="M908" s="66" t="s">
        <v>51</v>
      </c>
      <c r="N908" s="38"/>
      <c r="O908" s="45"/>
      <c r="P908" s="38"/>
      <c r="Q908" s="45"/>
      <c r="R908" s="38"/>
      <c r="S908" s="39"/>
      <c r="T908" s="31">
        <f t="shared" ref="T908" si="281">R907-P907</f>
        <v>0</v>
      </c>
      <c r="U908" s="78"/>
      <c r="V908" s="81"/>
      <c r="W908" s="81"/>
      <c r="X908" s="81"/>
      <c r="Y908" s="84"/>
      <c r="Z908" s="34"/>
      <c r="AA908" s="29"/>
      <c r="AB908" s="29"/>
      <c r="AC908" s="97"/>
      <c r="AD908" s="104"/>
      <c r="AE908" s="102"/>
    </row>
    <row r="909" spans="1:31" ht="17.100000000000001" customHeight="1" thickBot="1" x14ac:dyDescent="0.3">
      <c r="A909" s="52"/>
      <c r="B909" s="67"/>
      <c r="C909" s="73"/>
      <c r="D909" s="74"/>
      <c r="E909" s="75"/>
      <c r="F909" s="73"/>
      <c r="G909" s="75"/>
      <c r="H909" s="60"/>
      <c r="I909" s="25"/>
      <c r="J909" s="89"/>
      <c r="K909" s="72"/>
      <c r="L909" s="19" t="s">
        <v>52</v>
      </c>
      <c r="M909" s="67"/>
      <c r="N909" s="92"/>
      <c r="O909" s="93"/>
      <c r="P909" s="92"/>
      <c r="Q909" s="93"/>
      <c r="R909" s="92"/>
      <c r="S909" s="95"/>
      <c r="T909" s="33"/>
      <c r="U909" s="79"/>
      <c r="V909" s="82"/>
      <c r="W909" s="82"/>
      <c r="X909" s="82"/>
      <c r="Y909" s="85"/>
      <c r="Z909" s="35"/>
      <c r="AA909" s="30"/>
      <c r="AB909" s="30"/>
      <c r="AC909" s="105"/>
      <c r="AD909" s="106"/>
      <c r="AE909" s="103"/>
    </row>
    <row r="910" spans="1:31" ht="17.100000000000001" customHeight="1" x14ac:dyDescent="0.25">
      <c r="A910" s="50">
        <v>46023</v>
      </c>
      <c r="B910" s="53"/>
      <c r="C910" s="55"/>
      <c r="D910" s="56"/>
      <c r="E910" s="57"/>
      <c r="F910" s="55"/>
      <c r="G910" s="57"/>
      <c r="H910" s="58"/>
      <c r="I910" s="26"/>
      <c r="J910" s="61"/>
      <c r="K910" s="64"/>
      <c r="L910" s="11"/>
      <c r="M910" s="53"/>
      <c r="N910" s="42"/>
      <c r="O910" s="43"/>
      <c r="P910" s="36"/>
      <c r="Q910" s="43"/>
      <c r="R910" s="36"/>
      <c r="S910" s="37"/>
      <c r="T910" s="76">
        <f t="shared" ref="T910" si="282">R910-P910</f>
        <v>0</v>
      </c>
      <c r="U910" s="77"/>
      <c r="V910" s="80"/>
      <c r="W910" s="80"/>
      <c r="X910" s="80"/>
      <c r="Y910" s="83"/>
      <c r="Z910" s="86"/>
      <c r="AA910" s="48"/>
      <c r="AB910" s="48"/>
      <c r="AC910" s="96"/>
      <c r="AD910" s="99"/>
      <c r="AE910" s="101"/>
    </row>
    <row r="911" spans="1:31" ht="17.100000000000001" customHeight="1" x14ac:dyDescent="0.25">
      <c r="A911" s="51"/>
      <c r="B911" s="54"/>
      <c r="C911" s="68"/>
      <c r="D911" s="69"/>
      <c r="E911" s="70"/>
      <c r="F911" s="68"/>
      <c r="G911" s="70"/>
      <c r="H911" s="59"/>
      <c r="I911" s="24"/>
      <c r="J911" s="62"/>
      <c r="K911" s="65"/>
      <c r="L911" s="17"/>
      <c r="M911" s="54"/>
      <c r="N911" s="44"/>
      <c r="O911" s="45"/>
      <c r="P911" s="38"/>
      <c r="Q911" s="45"/>
      <c r="R911" s="38"/>
      <c r="S911" s="39"/>
      <c r="T911" s="32"/>
      <c r="U911" s="78"/>
      <c r="V911" s="81"/>
      <c r="W911" s="81"/>
      <c r="X911" s="81"/>
      <c r="Y911" s="84"/>
      <c r="Z911" s="34"/>
      <c r="AA911" s="29"/>
      <c r="AB911" s="29"/>
      <c r="AC911" s="97"/>
      <c r="AD911" s="100"/>
      <c r="AE911" s="102"/>
    </row>
    <row r="912" spans="1:31" ht="17.100000000000001" customHeight="1" x14ac:dyDescent="0.25">
      <c r="A912" s="51"/>
      <c r="B912" s="66"/>
      <c r="C912" s="68"/>
      <c r="D912" s="69"/>
      <c r="E912" s="70"/>
      <c r="F912" s="68"/>
      <c r="G912" s="70"/>
      <c r="H912" s="59"/>
      <c r="I912" s="27"/>
      <c r="J912" s="63"/>
      <c r="K912" s="71"/>
      <c r="L912" s="18"/>
      <c r="M912" s="66"/>
      <c r="N912" s="46"/>
      <c r="O912" s="47"/>
      <c r="P912" s="40"/>
      <c r="Q912" s="47"/>
      <c r="R912" s="40"/>
      <c r="S912" s="41"/>
      <c r="T912" s="31">
        <f>(P913-P910)+(R910-R913)</f>
        <v>0</v>
      </c>
      <c r="U912" s="78"/>
      <c r="V912" s="81"/>
      <c r="W912" s="81"/>
      <c r="X912" s="81"/>
      <c r="Y912" s="84"/>
      <c r="Z912" s="87"/>
      <c r="AA912" s="49"/>
      <c r="AB912" s="49"/>
      <c r="AC912" s="98"/>
      <c r="AD912" s="104"/>
      <c r="AE912" s="102"/>
    </row>
    <row r="913" spans="1:31" ht="17.100000000000001" customHeight="1" x14ac:dyDescent="0.25">
      <c r="A913" s="51"/>
      <c r="B913" s="54"/>
      <c r="C913" s="68"/>
      <c r="D913" s="69"/>
      <c r="E913" s="70"/>
      <c r="F913" s="68"/>
      <c r="G913" s="70"/>
      <c r="H913" s="59"/>
      <c r="I913" s="23"/>
      <c r="J913" s="88"/>
      <c r="K913" s="65"/>
      <c r="L913" s="18"/>
      <c r="M913" s="54"/>
      <c r="N913" s="90">
        <f>(P910-N910)+(P913-P910)+(R910-R913)</f>
        <v>0</v>
      </c>
      <c r="O913" s="91"/>
      <c r="P913" s="90"/>
      <c r="Q913" s="91"/>
      <c r="R913" s="90"/>
      <c r="S913" s="94"/>
      <c r="T913" s="32"/>
      <c r="U913" s="78"/>
      <c r="V913" s="81"/>
      <c r="W913" s="81"/>
      <c r="X913" s="81"/>
      <c r="Y913" s="84"/>
      <c r="Z913" s="34"/>
      <c r="AA913" s="28"/>
      <c r="AB913" s="28"/>
      <c r="AC913" s="97"/>
      <c r="AD913" s="100"/>
      <c r="AE913" s="102"/>
    </row>
    <row r="914" spans="1:31" ht="17.100000000000001" customHeight="1" x14ac:dyDescent="0.25">
      <c r="A914" s="51"/>
      <c r="B914" s="66"/>
      <c r="C914" s="68"/>
      <c r="D914" s="69"/>
      <c r="E914" s="70"/>
      <c r="F914" s="68"/>
      <c r="G914" s="70"/>
      <c r="H914" s="59"/>
      <c r="I914" s="24"/>
      <c r="J914" s="62"/>
      <c r="K914" s="71" t="s">
        <v>51</v>
      </c>
      <c r="L914" s="16" t="s">
        <v>51</v>
      </c>
      <c r="M914" s="66" t="s">
        <v>51</v>
      </c>
      <c r="N914" s="38"/>
      <c r="O914" s="45"/>
      <c r="P914" s="38"/>
      <c r="Q914" s="45"/>
      <c r="R914" s="38"/>
      <c r="S914" s="39"/>
      <c r="T914" s="31">
        <f t="shared" ref="T914" si="283">R913-P913</f>
        <v>0</v>
      </c>
      <c r="U914" s="78"/>
      <c r="V914" s="81"/>
      <c r="W914" s="81"/>
      <c r="X914" s="81"/>
      <c r="Y914" s="84"/>
      <c r="Z914" s="34"/>
      <c r="AA914" s="29"/>
      <c r="AB914" s="29"/>
      <c r="AC914" s="97"/>
      <c r="AD914" s="104"/>
      <c r="AE914" s="102"/>
    </row>
    <row r="915" spans="1:31" ht="17.100000000000001" customHeight="1" thickBot="1" x14ac:dyDescent="0.3">
      <c r="A915" s="52"/>
      <c r="B915" s="67"/>
      <c r="C915" s="73"/>
      <c r="D915" s="74"/>
      <c r="E915" s="75"/>
      <c r="F915" s="73"/>
      <c r="G915" s="75"/>
      <c r="H915" s="60"/>
      <c r="I915" s="25"/>
      <c r="J915" s="89"/>
      <c r="K915" s="72"/>
      <c r="L915" s="19" t="s">
        <v>52</v>
      </c>
      <c r="M915" s="67"/>
      <c r="N915" s="92"/>
      <c r="O915" s="93"/>
      <c r="P915" s="92"/>
      <c r="Q915" s="93"/>
      <c r="R915" s="92"/>
      <c r="S915" s="95"/>
      <c r="T915" s="33"/>
      <c r="U915" s="79"/>
      <c r="V915" s="82"/>
      <c r="W915" s="82"/>
      <c r="X915" s="82"/>
      <c r="Y915" s="85"/>
      <c r="Z915" s="35"/>
      <c r="AA915" s="30"/>
      <c r="AB915" s="30"/>
      <c r="AC915" s="105"/>
      <c r="AD915" s="106"/>
      <c r="AE915" s="103"/>
    </row>
    <row r="916" spans="1:31" ht="17.100000000000001" customHeight="1" x14ac:dyDescent="0.25">
      <c r="A916" s="50">
        <v>46023</v>
      </c>
      <c r="B916" s="53"/>
      <c r="C916" s="55"/>
      <c r="D916" s="56"/>
      <c r="E916" s="57"/>
      <c r="F916" s="55"/>
      <c r="G916" s="57"/>
      <c r="H916" s="58"/>
      <c r="I916" s="26"/>
      <c r="J916" s="61"/>
      <c r="K916" s="64"/>
      <c r="L916" s="11"/>
      <c r="M916" s="53"/>
      <c r="N916" s="42"/>
      <c r="O916" s="43"/>
      <c r="P916" s="36"/>
      <c r="Q916" s="43"/>
      <c r="R916" s="36"/>
      <c r="S916" s="37"/>
      <c r="T916" s="76">
        <f t="shared" ref="T916" si="284">R916-P916</f>
        <v>0</v>
      </c>
      <c r="U916" s="77"/>
      <c r="V916" s="80"/>
      <c r="W916" s="80"/>
      <c r="X916" s="80"/>
      <c r="Y916" s="83"/>
      <c r="Z916" s="86"/>
      <c r="AA916" s="48"/>
      <c r="AB916" s="48"/>
      <c r="AC916" s="96"/>
      <c r="AD916" s="99"/>
      <c r="AE916" s="101"/>
    </row>
    <row r="917" spans="1:31" ht="17.100000000000001" customHeight="1" x14ac:dyDescent="0.25">
      <c r="A917" s="51"/>
      <c r="B917" s="54"/>
      <c r="C917" s="68"/>
      <c r="D917" s="69"/>
      <c r="E917" s="70"/>
      <c r="F917" s="68"/>
      <c r="G917" s="70"/>
      <c r="H917" s="59"/>
      <c r="I917" s="24"/>
      <c r="J917" s="62"/>
      <c r="K917" s="65"/>
      <c r="L917" s="17"/>
      <c r="M917" s="54"/>
      <c r="N917" s="44"/>
      <c r="O917" s="45"/>
      <c r="P917" s="38"/>
      <c r="Q917" s="45"/>
      <c r="R917" s="38"/>
      <c r="S917" s="39"/>
      <c r="T917" s="32"/>
      <c r="U917" s="78"/>
      <c r="V917" s="81"/>
      <c r="W917" s="81"/>
      <c r="X917" s="81"/>
      <c r="Y917" s="84"/>
      <c r="Z917" s="34"/>
      <c r="AA917" s="29"/>
      <c r="AB917" s="29"/>
      <c r="AC917" s="97"/>
      <c r="AD917" s="100"/>
      <c r="AE917" s="102"/>
    </row>
    <row r="918" spans="1:31" ht="17.100000000000001" customHeight="1" x14ac:dyDescent="0.25">
      <c r="A918" s="51"/>
      <c r="B918" s="66"/>
      <c r="C918" s="68"/>
      <c r="D918" s="69"/>
      <c r="E918" s="70"/>
      <c r="F918" s="68"/>
      <c r="G918" s="70"/>
      <c r="H918" s="59"/>
      <c r="I918" s="27"/>
      <c r="J918" s="63"/>
      <c r="K918" s="71"/>
      <c r="L918" s="18"/>
      <c r="M918" s="66"/>
      <c r="N918" s="46"/>
      <c r="O918" s="47"/>
      <c r="P918" s="40"/>
      <c r="Q918" s="47"/>
      <c r="R918" s="40"/>
      <c r="S918" s="41"/>
      <c r="T918" s="31">
        <f>(P919-P916)+(R916-R919)</f>
        <v>0</v>
      </c>
      <c r="U918" s="78"/>
      <c r="V918" s="81"/>
      <c r="W918" s="81"/>
      <c r="X918" s="81"/>
      <c r="Y918" s="84"/>
      <c r="Z918" s="87"/>
      <c r="AA918" s="49"/>
      <c r="AB918" s="49"/>
      <c r="AC918" s="98"/>
      <c r="AD918" s="104"/>
      <c r="AE918" s="102"/>
    </row>
    <row r="919" spans="1:31" ht="17.100000000000001" customHeight="1" x14ac:dyDescent="0.25">
      <c r="A919" s="51"/>
      <c r="B919" s="54"/>
      <c r="C919" s="68"/>
      <c r="D919" s="69"/>
      <c r="E919" s="70"/>
      <c r="F919" s="68"/>
      <c r="G919" s="70"/>
      <c r="H919" s="59"/>
      <c r="I919" s="23"/>
      <c r="J919" s="88"/>
      <c r="K919" s="65"/>
      <c r="L919" s="18"/>
      <c r="M919" s="54"/>
      <c r="N919" s="90">
        <f>(P916-N916)+(P919-P916)+(R916-R919)</f>
        <v>0</v>
      </c>
      <c r="O919" s="91"/>
      <c r="P919" s="90"/>
      <c r="Q919" s="91"/>
      <c r="R919" s="90"/>
      <c r="S919" s="94"/>
      <c r="T919" s="32"/>
      <c r="U919" s="78"/>
      <c r="V919" s="81"/>
      <c r="W919" s="81"/>
      <c r="X919" s="81"/>
      <c r="Y919" s="84"/>
      <c r="Z919" s="34"/>
      <c r="AA919" s="28"/>
      <c r="AB919" s="28"/>
      <c r="AC919" s="97"/>
      <c r="AD919" s="100"/>
      <c r="AE919" s="102"/>
    </row>
    <row r="920" spans="1:31" ht="17.100000000000001" customHeight="1" x14ac:dyDescent="0.25">
      <c r="A920" s="51"/>
      <c r="B920" s="66"/>
      <c r="C920" s="68"/>
      <c r="D920" s="69"/>
      <c r="E920" s="70"/>
      <c r="F920" s="68"/>
      <c r="G920" s="70"/>
      <c r="H920" s="59"/>
      <c r="I920" s="24"/>
      <c r="J920" s="62"/>
      <c r="K920" s="71" t="s">
        <v>51</v>
      </c>
      <c r="L920" s="16" t="s">
        <v>51</v>
      </c>
      <c r="M920" s="66" t="s">
        <v>51</v>
      </c>
      <c r="N920" s="38"/>
      <c r="O920" s="45"/>
      <c r="P920" s="38"/>
      <c r="Q920" s="45"/>
      <c r="R920" s="38"/>
      <c r="S920" s="39"/>
      <c r="T920" s="31">
        <f t="shared" ref="T920" si="285">R919-P919</f>
        <v>0</v>
      </c>
      <c r="U920" s="78"/>
      <c r="V920" s="81"/>
      <c r="W920" s="81"/>
      <c r="X920" s="81"/>
      <c r="Y920" s="84"/>
      <c r="Z920" s="34"/>
      <c r="AA920" s="29"/>
      <c r="AB920" s="29"/>
      <c r="AC920" s="97"/>
      <c r="AD920" s="104"/>
      <c r="AE920" s="102"/>
    </row>
    <row r="921" spans="1:31" ht="17.100000000000001" customHeight="1" thickBot="1" x14ac:dyDescent="0.3">
      <c r="A921" s="52"/>
      <c r="B921" s="67"/>
      <c r="C921" s="73"/>
      <c r="D921" s="74"/>
      <c r="E921" s="75"/>
      <c r="F921" s="73"/>
      <c r="G921" s="75"/>
      <c r="H921" s="60"/>
      <c r="I921" s="25"/>
      <c r="J921" s="89"/>
      <c r="K921" s="72"/>
      <c r="L921" s="19" t="s">
        <v>52</v>
      </c>
      <c r="M921" s="67"/>
      <c r="N921" s="92"/>
      <c r="O921" s="93"/>
      <c r="P921" s="92"/>
      <c r="Q921" s="93"/>
      <c r="R921" s="92"/>
      <c r="S921" s="95"/>
      <c r="T921" s="33"/>
      <c r="U921" s="79"/>
      <c r="V921" s="82"/>
      <c r="W921" s="82"/>
      <c r="X921" s="82"/>
      <c r="Y921" s="85"/>
      <c r="Z921" s="35"/>
      <c r="AA921" s="30"/>
      <c r="AB921" s="30"/>
      <c r="AC921" s="105"/>
      <c r="AD921" s="106"/>
      <c r="AE921" s="103"/>
    </row>
    <row r="922" spans="1:31" ht="17.100000000000001" customHeight="1" x14ac:dyDescent="0.25">
      <c r="A922" s="50">
        <v>46023</v>
      </c>
      <c r="B922" s="53"/>
      <c r="C922" s="55"/>
      <c r="D922" s="56"/>
      <c r="E922" s="57"/>
      <c r="F922" s="55"/>
      <c r="G922" s="57"/>
      <c r="H922" s="58"/>
      <c r="I922" s="26"/>
      <c r="J922" s="61"/>
      <c r="K922" s="64"/>
      <c r="L922" s="11"/>
      <c r="M922" s="53"/>
      <c r="N922" s="42"/>
      <c r="O922" s="43"/>
      <c r="P922" s="36"/>
      <c r="Q922" s="43"/>
      <c r="R922" s="36"/>
      <c r="S922" s="37"/>
      <c r="T922" s="76">
        <f t="shared" ref="T922" si="286">R922-P922</f>
        <v>0</v>
      </c>
      <c r="U922" s="77"/>
      <c r="V922" s="80"/>
      <c r="W922" s="80"/>
      <c r="X922" s="80"/>
      <c r="Y922" s="83"/>
      <c r="Z922" s="86"/>
      <c r="AA922" s="48"/>
      <c r="AB922" s="48"/>
      <c r="AC922" s="96"/>
      <c r="AD922" s="99"/>
      <c r="AE922" s="101"/>
    </row>
    <row r="923" spans="1:31" ht="17.100000000000001" customHeight="1" x14ac:dyDescent="0.25">
      <c r="A923" s="51"/>
      <c r="B923" s="54"/>
      <c r="C923" s="68"/>
      <c r="D923" s="69"/>
      <c r="E923" s="70"/>
      <c r="F923" s="68"/>
      <c r="G923" s="70"/>
      <c r="H923" s="59"/>
      <c r="I923" s="24"/>
      <c r="J923" s="62"/>
      <c r="K923" s="65"/>
      <c r="L923" s="17"/>
      <c r="M923" s="54"/>
      <c r="N923" s="44"/>
      <c r="O923" s="45"/>
      <c r="P923" s="38"/>
      <c r="Q923" s="45"/>
      <c r="R923" s="38"/>
      <c r="S923" s="39"/>
      <c r="T923" s="32"/>
      <c r="U923" s="78"/>
      <c r="V923" s="81"/>
      <c r="W923" s="81"/>
      <c r="X923" s="81"/>
      <c r="Y923" s="84"/>
      <c r="Z923" s="34"/>
      <c r="AA923" s="29"/>
      <c r="AB923" s="29"/>
      <c r="AC923" s="97"/>
      <c r="AD923" s="100"/>
      <c r="AE923" s="102"/>
    </row>
    <row r="924" spans="1:31" ht="17.100000000000001" customHeight="1" x14ac:dyDescent="0.25">
      <c r="A924" s="51"/>
      <c r="B924" s="66"/>
      <c r="C924" s="68"/>
      <c r="D924" s="69"/>
      <c r="E924" s="70"/>
      <c r="F924" s="68"/>
      <c r="G924" s="70"/>
      <c r="H924" s="59"/>
      <c r="I924" s="27"/>
      <c r="J924" s="63"/>
      <c r="K924" s="71"/>
      <c r="L924" s="18"/>
      <c r="M924" s="66"/>
      <c r="N924" s="46"/>
      <c r="O924" s="47"/>
      <c r="P924" s="40"/>
      <c r="Q924" s="47"/>
      <c r="R924" s="40"/>
      <c r="S924" s="41"/>
      <c r="T924" s="31">
        <f>(P925-P922)+(R922-R925)</f>
        <v>0</v>
      </c>
      <c r="U924" s="78"/>
      <c r="V924" s="81"/>
      <c r="W924" s="81"/>
      <c r="X924" s="81"/>
      <c r="Y924" s="84"/>
      <c r="Z924" s="87"/>
      <c r="AA924" s="49"/>
      <c r="AB924" s="49"/>
      <c r="AC924" s="98"/>
      <c r="AD924" s="104"/>
      <c r="AE924" s="102"/>
    </row>
    <row r="925" spans="1:31" ht="17.100000000000001" customHeight="1" x14ac:dyDescent="0.25">
      <c r="A925" s="51"/>
      <c r="B925" s="54"/>
      <c r="C925" s="68"/>
      <c r="D925" s="69"/>
      <c r="E925" s="70"/>
      <c r="F925" s="68"/>
      <c r="G925" s="70"/>
      <c r="H925" s="59"/>
      <c r="I925" s="23"/>
      <c r="J925" s="88"/>
      <c r="K925" s="65"/>
      <c r="L925" s="18"/>
      <c r="M925" s="54"/>
      <c r="N925" s="90">
        <f>(P922-N922)+(P925-P922)+(R922-R925)</f>
        <v>0</v>
      </c>
      <c r="O925" s="91"/>
      <c r="P925" s="90"/>
      <c r="Q925" s="91"/>
      <c r="R925" s="90"/>
      <c r="S925" s="94"/>
      <c r="T925" s="32"/>
      <c r="U925" s="78"/>
      <c r="V925" s="81"/>
      <c r="W925" s="81"/>
      <c r="X925" s="81"/>
      <c r="Y925" s="84"/>
      <c r="Z925" s="34"/>
      <c r="AA925" s="28"/>
      <c r="AB925" s="28"/>
      <c r="AC925" s="97"/>
      <c r="AD925" s="100"/>
      <c r="AE925" s="102"/>
    </row>
    <row r="926" spans="1:31" ht="17.100000000000001" customHeight="1" x14ac:dyDescent="0.25">
      <c r="A926" s="51"/>
      <c r="B926" s="66"/>
      <c r="C926" s="68"/>
      <c r="D926" s="69"/>
      <c r="E926" s="70"/>
      <c r="F926" s="68"/>
      <c r="G926" s="70"/>
      <c r="H926" s="59"/>
      <c r="I926" s="24"/>
      <c r="J926" s="62"/>
      <c r="K926" s="71" t="s">
        <v>51</v>
      </c>
      <c r="L926" s="16" t="s">
        <v>51</v>
      </c>
      <c r="M926" s="66" t="s">
        <v>51</v>
      </c>
      <c r="N926" s="38"/>
      <c r="O926" s="45"/>
      <c r="P926" s="38"/>
      <c r="Q926" s="45"/>
      <c r="R926" s="38"/>
      <c r="S926" s="39"/>
      <c r="T926" s="31">
        <f t="shared" ref="T926" si="287">R925-P925</f>
        <v>0</v>
      </c>
      <c r="U926" s="78"/>
      <c r="V926" s="81"/>
      <c r="W926" s="81"/>
      <c r="X926" s="81"/>
      <c r="Y926" s="84"/>
      <c r="Z926" s="34"/>
      <c r="AA926" s="29"/>
      <c r="AB926" s="29"/>
      <c r="AC926" s="97"/>
      <c r="AD926" s="104"/>
      <c r="AE926" s="102"/>
    </row>
    <row r="927" spans="1:31" ht="17.100000000000001" customHeight="1" thickBot="1" x14ac:dyDescent="0.3">
      <c r="A927" s="52"/>
      <c r="B927" s="67"/>
      <c r="C927" s="73"/>
      <c r="D927" s="74"/>
      <c r="E927" s="75"/>
      <c r="F927" s="73"/>
      <c r="G927" s="75"/>
      <c r="H927" s="60"/>
      <c r="I927" s="25"/>
      <c r="J927" s="89"/>
      <c r="K927" s="72"/>
      <c r="L927" s="19" t="s">
        <v>52</v>
      </c>
      <c r="M927" s="67"/>
      <c r="N927" s="92"/>
      <c r="O927" s="93"/>
      <c r="P927" s="92"/>
      <c r="Q927" s="93"/>
      <c r="R927" s="92"/>
      <c r="S927" s="95"/>
      <c r="T927" s="33"/>
      <c r="U927" s="79"/>
      <c r="V927" s="82"/>
      <c r="W927" s="82"/>
      <c r="X927" s="82"/>
      <c r="Y927" s="85"/>
      <c r="Z927" s="35"/>
      <c r="AA927" s="30"/>
      <c r="AB927" s="30"/>
      <c r="AC927" s="105"/>
      <c r="AD927" s="106"/>
      <c r="AE927" s="103"/>
    </row>
    <row r="929" spans="1:31" ht="17.100000000000001" customHeight="1" thickBot="1" x14ac:dyDescent="0.3"/>
    <row r="930" spans="1:31" ht="17.100000000000001" customHeight="1" x14ac:dyDescent="0.25">
      <c r="A930" s="50">
        <v>46023</v>
      </c>
      <c r="B930" s="53"/>
      <c r="C930" s="55"/>
      <c r="D930" s="56"/>
      <c r="E930" s="57"/>
      <c r="F930" s="55"/>
      <c r="G930" s="57"/>
      <c r="H930" s="58"/>
      <c r="I930" s="26"/>
      <c r="J930" s="61"/>
      <c r="K930" s="64"/>
      <c r="L930" s="11"/>
      <c r="M930" s="53"/>
      <c r="N930" s="42"/>
      <c r="O930" s="43"/>
      <c r="P930" s="36"/>
      <c r="Q930" s="43"/>
      <c r="R930" s="36"/>
      <c r="S930" s="37"/>
      <c r="T930" s="76">
        <f t="shared" ref="T930" si="288">R930-P930</f>
        <v>0</v>
      </c>
      <c r="U930" s="77"/>
      <c r="V930" s="80"/>
      <c r="W930" s="80"/>
      <c r="X930" s="80"/>
      <c r="Y930" s="83"/>
      <c r="Z930" s="86"/>
      <c r="AA930" s="48"/>
      <c r="AB930" s="48"/>
      <c r="AC930" s="96"/>
      <c r="AD930" s="99"/>
      <c r="AE930" s="101"/>
    </row>
    <row r="931" spans="1:31" ht="17.100000000000001" customHeight="1" x14ac:dyDescent="0.25">
      <c r="A931" s="51"/>
      <c r="B931" s="54"/>
      <c r="C931" s="68"/>
      <c r="D931" s="69"/>
      <c r="E931" s="70"/>
      <c r="F931" s="68"/>
      <c r="G931" s="70"/>
      <c r="H931" s="59"/>
      <c r="I931" s="24"/>
      <c r="J931" s="62"/>
      <c r="K931" s="65"/>
      <c r="L931" s="17"/>
      <c r="M931" s="54"/>
      <c r="N931" s="44"/>
      <c r="O931" s="45"/>
      <c r="P931" s="38"/>
      <c r="Q931" s="45"/>
      <c r="R931" s="38"/>
      <c r="S931" s="39"/>
      <c r="T931" s="32"/>
      <c r="U931" s="78"/>
      <c r="V931" s="81"/>
      <c r="W931" s="81"/>
      <c r="X931" s="81"/>
      <c r="Y931" s="84"/>
      <c r="Z931" s="34"/>
      <c r="AA931" s="29"/>
      <c r="AB931" s="29"/>
      <c r="AC931" s="97"/>
      <c r="AD931" s="100"/>
      <c r="AE931" s="102"/>
    </row>
    <row r="932" spans="1:31" ht="17.100000000000001" customHeight="1" x14ac:dyDescent="0.25">
      <c r="A932" s="51"/>
      <c r="B932" s="66"/>
      <c r="C932" s="68"/>
      <c r="D932" s="69"/>
      <c r="E932" s="70"/>
      <c r="F932" s="68"/>
      <c r="G932" s="70"/>
      <c r="H932" s="59"/>
      <c r="I932" s="27"/>
      <c r="J932" s="63"/>
      <c r="K932" s="71"/>
      <c r="L932" s="18"/>
      <c r="M932" s="66"/>
      <c r="N932" s="46"/>
      <c r="O932" s="47"/>
      <c r="P932" s="40"/>
      <c r="Q932" s="47"/>
      <c r="R932" s="40"/>
      <c r="S932" s="41"/>
      <c r="T932" s="31">
        <f>(P933-P930)+(R930-R933)</f>
        <v>0</v>
      </c>
      <c r="U932" s="78"/>
      <c r="V932" s="81"/>
      <c r="W932" s="81"/>
      <c r="X932" s="81"/>
      <c r="Y932" s="84"/>
      <c r="Z932" s="87"/>
      <c r="AA932" s="49"/>
      <c r="AB932" s="49"/>
      <c r="AC932" s="98"/>
      <c r="AD932" s="104"/>
      <c r="AE932" s="102"/>
    </row>
    <row r="933" spans="1:31" ht="17.100000000000001" customHeight="1" x14ac:dyDescent="0.25">
      <c r="A933" s="51"/>
      <c r="B933" s="54"/>
      <c r="C933" s="68"/>
      <c r="D933" s="69"/>
      <c r="E933" s="70"/>
      <c r="F933" s="68"/>
      <c r="G933" s="70"/>
      <c r="H933" s="59"/>
      <c r="I933" s="23"/>
      <c r="J933" s="88"/>
      <c r="K933" s="65"/>
      <c r="L933" s="18"/>
      <c r="M933" s="54"/>
      <c r="N933" s="90">
        <f>(P930-N930)+(P933-P930)+(R930-R933)</f>
        <v>0</v>
      </c>
      <c r="O933" s="91"/>
      <c r="P933" s="90"/>
      <c r="Q933" s="91"/>
      <c r="R933" s="90"/>
      <c r="S933" s="94"/>
      <c r="T933" s="32"/>
      <c r="U933" s="78"/>
      <c r="V933" s="81"/>
      <c r="W933" s="81"/>
      <c r="X933" s="81"/>
      <c r="Y933" s="84"/>
      <c r="Z933" s="34"/>
      <c r="AA933" s="28"/>
      <c r="AB933" s="28"/>
      <c r="AC933" s="97"/>
      <c r="AD933" s="100"/>
      <c r="AE933" s="102"/>
    </row>
    <row r="934" spans="1:31" ht="17.100000000000001" customHeight="1" x14ac:dyDescent="0.25">
      <c r="A934" s="51"/>
      <c r="B934" s="66"/>
      <c r="C934" s="68"/>
      <c r="D934" s="69"/>
      <c r="E934" s="70"/>
      <c r="F934" s="68"/>
      <c r="G934" s="70"/>
      <c r="H934" s="59"/>
      <c r="I934" s="24"/>
      <c r="J934" s="62"/>
      <c r="K934" s="71" t="s">
        <v>51</v>
      </c>
      <c r="L934" s="16" t="s">
        <v>51</v>
      </c>
      <c r="M934" s="66" t="s">
        <v>51</v>
      </c>
      <c r="N934" s="38"/>
      <c r="O934" s="45"/>
      <c r="P934" s="38"/>
      <c r="Q934" s="45"/>
      <c r="R934" s="38"/>
      <c r="S934" s="39"/>
      <c r="T934" s="31">
        <f t="shared" ref="T934" si="289">R933-P933</f>
        <v>0</v>
      </c>
      <c r="U934" s="78"/>
      <c r="V934" s="81"/>
      <c r="W934" s="81"/>
      <c r="X934" s="81"/>
      <c r="Y934" s="84"/>
      <c r="Z934" s="34"/>
      <c r="AA934" s="29"/>
      <c r="AB934" s="29"/>
      <c r="AC934" s="97"/>
      <c r="AD934" s="104"/>
      <c r="AE934" s="102"/>
    </row>
    <row r="935" spans="1:31" ht="17.100000000000001" customHeight="1" thickBot="1" x14ac:dyDescent="0.3">
      <c r="A935" s="52"/>
      <c r="B935" s="67"/>
      <c r="C935" s="73"/>
      <c r="D935" s="74"/>
      <c r="E935" s="75"/>
      <c r="F935" s="73"/>
      <c r="G935" s="75"/>
      <c r="H935" s="60"/>
      <c r="I935" s="25"/>
      <c r="J935" s="89"/>
      <c r="K935" s="72"/>
      <c r="L935" s="19" t="s">
        <v>52</v>
      </c>
      <c r="M935" s="67"/>
      <c r="N935" s="92"/>
      <c r="O935" s="93"/>
      <c r="P935" s="92"/>
      <c r="Q935" s="93"/>
      <c r="R935" s="92"/>
      <c r="S935" s="95"/>
      <c r="T935" s="33"/>
      <c r="U935" s="79"/>
      <c r="V935" s="82"/>
      <c r="W935" s="82"/>
      <c r="X935" s="82"/>
      <c r="Y935" s="85"/>
      <c r="Z935" s="35"/>
      <c r="AA935" s="30"/>
      <c r="AB935" s="30"/>
      <c r="AC935" s="105"/>
      <c r="AD935" s="106"/>
      <c r="AE935" s="103"/>
    </row>
    <row r="936" spans="1:31" ht="17.100000000000001" customHeight="1" x14ac:dyDescent="0.25">
      <c r="A936" s="50">
        <v>46023</v>
      </c>
      <c r="B936" s="53"/>
      <c r="C936" s="55"/>
      <c r="D936" s="56"/>
      <c r="E936" s="57"/>
      <c r="F936" s="55"/>
      <c r="G936" s="57"/>
      <c r="H936" s="58"/>
      <c r="I936" s="26"/>
      <c r="J936" s="61"/>
      <c r="K936" s="64"/>
      <c r="L936" s="11"/>
      <c r="M936" s="53"/>
      <c r="N936" s="42"/>
      <c r="O936" s="43"/>
      <c r="P936" s="36"/>
      <c r="Q936" s="43"/>
      <c r="R936" s="36"/>
      <c r="S936" s="37"/>
      <c r="T936" s="76">
        <f t="shared" ref="T936" si="290">R936-P936</f>
        <v>0</v>
      </c>
      <c r="U936" s="77"/>
      <c r="V936" s="80"/>
      <c r="W936" s="80"/>
      <c r="X936" s="80"/>
      <c r="Y936" s="83"/>
      <c r="Z936" s="86"/>
      <c r="AA936" s="48"/>
      <c r="AB936" s="48"/>
      <c r="AC936" s="96"/>
      <c r="AD936" s="99"/>
      <c r="AE936" s="101"/>
    </row>
    <row r="937" spans="1:31" ht="17.100000000000001" customHeight="1" x14ac:dyDescent="0.25">
      <c r="A937" s="51"/>
      <c r="B937" s="54"/>
      <c r="C937" s="68"/>
      <c r="D937" s="69"/>
      <c r="E937" s="70"/>
      <c r="F937" s="68"/>
      <c r="G937" s="70"/>
      <c r="H937" s="59"/>
      <c r="I937" s="24"/>
      <c r="J937" s="62"/>
      <c r="K937" s="65"/>
      <c r="L937" s="17"/>
      <c r="M937" s="54"/>
      <c r="N937" s="44"/>
      <c r="O937" s="45"/>
      <c r="P937" s="38"/>
      <c r="Q937" s="45"/>
      <c r="R937" s="38"/>
      <c r="S937" s="39"/>
      <c r="T937" s="32"/>
      <c r="U937" s="78"/>
      <c r="V937" s="81"/>
      <c r="W937" s="81"/>
      <c r="X937" s="81"/>
      <c r="Y937" s="84"/>
      <c r="Z937" s="34"/>
      <c r="AA937" s="29"/>
      <c r="AB937" s="29"/>
      <c r="AC937" s="97"/>
      <c r="AD937" s="100"/>
      <c r="AE937" s="102"/>
    </row>
    <row r="938" spans="1:31" ht="17.100000000000001" customHeight="1" x14ac:dyDescent="0.25">
      <c r="A938" s="51"/>
      <c r="B938" s="66"/>
      <c r="C938" s="68"/>
      <c r="D938" s="69"/>
      <c r="E938" s="70"/>
      <c r="F938" s="68"/>
      <c r="G938" s="70"/>
      <c r="H938" s="59"/>
      <c r="I938" s="27"/>
      <c r="J938" s="63"/>
      <c r="K938" s="71"/>
      <c r="L938" s="18"/>
      <c r="M938" s="66"/>
      <c r="N938" s="46"/>
      <c r="O938" s="47"/>
      <c r="P938" s="40"/>
      <c r="Q938" s="47"/>
      <c r="R938" s="40"/>
      <c r="S938" s="41"/>
      <c r="T938" s="31">
        <f>(P939-P936)+(R936-R939)</f>
        <v>0</v>
      </c>
      <c r="U938" s="78"/>
      <c r="V938" s="81"/>
      <c r="W938" s="81"/>
      <c r="X938" s="81"/>
      <c r="Y938" s="84"/>
      <c r="Z938" s="87"/>
      <c r="AA938" s="49"/>
      <c r="AB938" s="49"/>
      <c r="AC938" s="98"/>
      <c r="AD938" s="104"/>
      <c r="AE938" s="102"/>
    </row>
    <row r="939" spans="1:31" ht="17.100000000000001" customHeight="1" x14ac:dyDescent="0.25">
      <c r="A939" s="51"/>
      <c r="B939" s="54"/>
      <c r="C939" s="68"/>
      <c r="D939" s="69"/>
      <c r="E939" s="70"/>
      <c r="F939" s="68"/>
      <c r="G939" s="70"/>
      <c r="H939" s="59"/>
      <c r="I939" s="23"/>
      <c r="J939" s="88"/>
      <c r="K939" s="65"/>
      <c r="L939" s="18"/>
      <c r="M939" s="54"/>
      <c r="N939" s="90">
        <f>(P936-N936)+(P939-P936)+(R936-R939)</f>
        <v>0</v>
      </c>
      <c r="O939" s="91"/>
      <c r="P939" s="90"/>
      <c r="Q939" s="91"/>
      <c r="R939" s="90"/>
      <c r="S939" s="94"/>
      <c r="T939" s="32"/>
      <c r="U939" s="78"/>
      <c r="V939" s="81"/>
      <c r="W939" s="81"/>
      <c r="X939" s="81"/>
      <c r="Y939" s="84"/>
      <c r="Z939" s="34"/>
      <c r="AA939" s="28"/>
      <c r="AB939" s="28"/>
      <c r="AC939" s="97"/>
      <c r="AD939" s="100"/>
      <c r="AE939" s="102"/>
    </row>
    <row r="940" spans="1:31" ht="17.100000000000001" customHeight="1" x14ac:dyDescent="0.25">
      <c r="A940" s="51"/>
      <c r="B940" s="66"/>
      <c r="C940" s="68"/>
      <c r="D940" s="69"/>
      <c r="E940" s="70"/>
      <c r="F940" s="68"/>
      <c r="G940" s="70"/>
      <c r="H940" s="59"/>
      <c r="I940" s="24"/>
      <c r="J940" s="62"/>
      <c r="K940" s="71" t="s">
        <v>51</v>
      </c>
      <c r="L940" s="16" t="s">
        <v>51</v>
      </c>
      <c r="M940" s="66" t="s">
        <v>51</v>
      </c>
      <c r="N940" s="38"/>
      <c r="O940" s="45"/>
      <c r="P940" s="38"/>
      <c r="Q940" s="45"/>
      <c r="R940" s="38"/>
      <c r="S940" s="39"/>
      <c r="T940" s="31">
        <f t="shared" ref="T940" si="291">R939-P939</f>
        <v>0</v>
      </c>
      <c r="U940" s="78"/>
      <c r="V940" s="81"/>
      <c r="W940" s="81"/>
      <c r="X940" s="81"/>
      <c r="Y940" s="84"/>
      <c r="Z940" s="34"/>
      <c r="AA940" s="29"/>
      <c r="AB940" s="29"/>
      <c r="AC940" s="97"/>
      <c r="AD940" s="104"/>
      <c r="AE940" s="102"/>
    </row>
    <row r="941" spans="1:31" ht="17.100000000000001" customHeight="1" thickBot="1" x14ac:dyDescent="0.3">
      <c r="A941" s="52"/>
      <c r="B941" s="67"/>
      <c r="C941" s="73"/>
      <c r="D941" s="74"/>
      <c r="E941" s="75"/>
      <c r="F941" s="73"/>
      <c r="G941" s="75"/>
      <c r="H941" s="60"/>
      <c r="I941" s="25"/>
      <c r="J941" s="89"/>
      <c r="K941" s="72"/>
      <c r="L941" s="19" t="s">
        <v>52</v>
      </c>
      <c r="M941" s="67"/>
      <c r="N941" s="92"/>
      <c r="O941" s="93"/>
      <c r="P941" s="92"/>
      <c r="Q941" s="93"/>
      <c r="R941" s="92"/>
      <c r="S941" s="95"/>
      <c r="T941" s="33"/>
      <c r="U941" s="79"/>
      <c r="V941" s="82"/>
      <c r="W941" s="82"/>
      <c r="X941" s="82"/>
      <c r="Y941" s="85"/>
      <c r="Z941" s="35"/>
      <c r="AA941" s="30"/>
      <c r="AB941" s="30"/>
      <c r="AC941" s="105"/>
      <c r="AD941" s="106"/>
      <c r="AE941" s="103"/>
    </row>
    <row r="942" spans="1:31" ht="17.100000000000001" customHeight="1" x14ac:dyDescent="0.25">
      <c r="A942" s="50">
        <v>46023</v>
      </c>
      <c r="B942" s="53"/>
      <c r="C942" s="55"/>
      <c r="D942" s="56"/>
      <c r="E942" s="57"/>
      <c r="F942" s="55"/>
      <c r="G942" s="57"/>
      <c r="H942" s="58"/>
      <c r="I942" s="26"/>
      <c r="J942" s="61"/>
      <c r="K942" s="64"/>
      <c r="L942" s="11"/>
      <c r="M942" s="53"/>
      <c r="N942" s="42"/>
      <c r="O942" s="43"/>
      <c r="P942" s="36"/>
      <c r="Q942" s="43"/>
      <c r="R942" s="36"/>
      <c r="S942" s="37"/>
      <c r="T942" s="76">
        <f t="shared" ref="T942" si="292">R942-P942</f>
        <v>0</v>
      </c>
      <c r="U942" s="77"/>
      <c r="V942" s="80"/>
      <c r="W942" s="80"/>
      <c r="X942" s="80"/>
      <c r="Y942" s="83"/>
      <c r="Z942" s="86"/>
      <c r="AA942" s="48"/>
      <c r="AB942" s="48"/>
      <c r="AC942" s="96"/>
      <c r="AD942" s="99"/>
      <c r="AE942" s="101"/>
    </row>
    <row r="943" spans="1:31" ht="17.100000000000001" customHeight="1" x14ac:dyDescent="0.25">
      <c r="A943" s="51"/>
      <c r="B943" s="54"/>
      <c r="C943" s="68"/>
      <c r="D943" s="69"/>
      <c r="E943" s="70"/>
      <c r="F943" s="68"/>
      <c r="G943" s="70"/>
      <c r="H943" s="59"/>
      <c r="I943" s="24"/>
      <c r="J943" s="62"/>
      <c r="K943" s="65"/>
      <c r="L943" s="17"/>
      <c r="M943" s="54"/>
      <c r="N943" s="44"/>
      <c r="O943" s="45"/>
      <c r="P943" s="38"/>
      <c r="Q943" s="45"/>
      <c r="R943" s="38"/>
      <c r="S943" s="39"/>
      <c r="T943" s="32"/>
      <c r="U943" s="78"/>
      <c r="V943" s="81"/>
      <c r="W943" s="81"/>
      <c r="X943" s="81"/>
      <c r="Y943" s="84"/>
      <c r="Z943" s="34"/>
      <c r="AA943" s="29"/>
      <c r="AB943" s="29"/>
      <c r="AC943" s="97"/>
      <c r="AD943" s="100"/>
      <c r="AE943" s="102"/>
    </row>
    <row r="944" spans="1:31" ht="17.100000000000001" customHeight="1" x14ac:dyDescent="0.25">
      <c r="A944" s="51"/>
      <c r="B944" s="66"/>
      <c r="C944" s="68"/>
      <c r="D944" s="69"/>
      <c r="E944" s="70"/>
      <c r="F944" s="68"/>
      <c r="G944" s="70"/>
      <c r="H944" s="59"/>
      <c r="I944" s="27"/>
      <c r="J944" s="63"/>
      <c r="K944" s="71"/>
      <c r="L944" s="18"/>
      <c r="M944" s="66"/>
      <c r="N944" s="46"/>
      <c r="O944" s="47"/>
      <c r="P944" s="40"/>
      <c r="Q944" s="47"/>
      <c r="R944" s="40"/>
      <c r="S944" s="41"/>
      <c r="T944" s="31">
        <f>(P945-P942)+(R942-R945)</f>
        <v>0</v>
      </c>
      <c r="U944" s="78"/>
      <c r="V944" s="81"/>
      <c r="W944" s="81"/>
      <c r="X944" s="81"/>
      <c r="Y944" s="84"/>
      <c r="Z944" s="87"/>
      <c r="AA944" s="49"/>
      <c r="AB944" s="49"/>
      <c r="AC944" s="98"/>
      <c r="AD944" s="104"/>
      <c r="AE944" s="102"/>
    </row>
    <row r="945" spans="1:31" ht="17.100000000000001" customHeight="1" x14ac:dyDescent="0.25">
      <c r="A945" s="51"/>
      <c r="B945" s="54"/>
      <c r="C945" s="68"/>
      <c r="D945" s="69"/>
      <c r="E945" s="70"/>
      <c r="F945" s="68"/>
      <c r="G945" s="70"/>
      <c r="H945" s="59"/>
      <c r="I945" s="23"/>
      <c r="J945" s="88"/>
      <c r="K945" s="65"/>
      <c r="L945" s="18"/>
      <c r="M945" s="54"/>
      <c r="N945" s="90">
        <f>(P942-N942)+(P945-P942)+(R942-R945)</f>
        <v>0</v>
      </c>
      <c r="O945" s="91"/>
      <c r="P945" s="90"/>
      <c r="Q945" s="91"/>
      <c r="R945" s="90"/>
      <c r="S945" s="94"/>
      <c r="T945" s="32"/>
      <c r="U945" s="78"/>
      <c r="V945" s="81"/>
      <c r="W945" s="81"/>
      <c r="X945" s="81"/>
      <c r="Y945" s="84"/>
      <c r="Z945" s="34"/>
      <c r="AA945" s="28"/>
      <c r="AB945" s="28"/>
      <c r="AC945" s="97"/>
      <c r="AD945" s="100"/>
      <c r="AE945" s="102"/>
    </row>
    <row r="946" spans="1:31" ht="17.100000000000001" customHeight="1" x14ac:dyDescent="0.25">
      <c r="A946" s="51"/>
      <c r="B946" s="66"/>
      <c r="C946" s="68"/>
      <c r="D946" s="69"/>
      <c r="E946" s="70"/>
      <c r="F946" s="68"/>
      <c r="G946" s="70"/>
      <c r="H946" s="59"/>
      <c r="I946" s="24"/>
      <c r="J946" s="62"/>
      <c r="K946" s="71" t="s">
        <v>51</v>
      </c>
      <c r="L946" s="16" t="s">
        <v>51</v>
      </c>
      <c r="M946" s="66" t="s">
        <v>51</v>
      </c>
      <c r="N946" s="38"/>
      <c r="O946" s="45"/>
      <c r="P946" s="38"/>
      <c r="Q946" s="45"/>
      <c r="R946" s="38"/>
      <c r="S946" s="39"/>
      <c r="T946" s="31">
        <f t="shared" ref="T946" si="293">R945-P945</f>
        <v>0</v>
      </c>
      <c r="U946" s="78"/>
      <c r="V946" s="81"/>
      <c r="W946" s="81"/>
      <c r="X946" s="81"/>
      <c r="Y946" s="84"/>
      <c r="Z946" s="34"/>
      <c r="AA946" s="29"/>
      <c r="AB946" s="29"/>
      <c r="AC946" s="97"/>
      <c r="AD946" s="104"/>
      <c r="AE946" s="102"/>
    </row>
    <row r="947" spans="1:31" ht="17.100000000000001" customHeight="1" thickBot="1" x14ac:dyDescent="0.3">
      <c r="A947" s="52"/>
      <c r="B947" s="67"/>
      <c r="C947" s="73"/>
      <c r="D947" s="74"/>
      <c r="E947" s="75"/>
      <c r="F947" s="73"/>
      <c r="G947" s="75"/>
      <c r="H947" s="60"/>
      <c r="I947" s="25"/>
      <c r="J947" s="89"/>
      <c r="K947" s="72"/>
      <c r="L947" s="19" t="s">
        <v>52</v>
      </c>
      <c r="M947" s="67"/>
      <c r="N947" s="92"/>
      <c r="O947" s="93"/>
      <c r="P947" s="92"/>
      <c r="Q947" s="93"/>
      <c r="R947" s="92"/>
      <c r="S947" s="95"/>
      <c r="T947" s="33"/>
      <c r="U947" s="79"/>
      <c r="V947" s="82"/>
      <c r="W947" s="82"/>
      <c r="X947" s="82"/>
      <c r="Y947" s="85"/>
      <c r="Z947" s="35"/>
      <c r="AA947" s="30"/>
      <c r="AB947" s="30"/>
      <c r="AC947" s="105"/>
      <c r="AD947" s="106"/>
      <c r="AE947" s="103"/>
    </row>
    <row r="948" spans="1:31" ht="17.100000000000001" customHeight="1" x14ac:dyDescent="0.25">
      <c r="A948" s="50">
        <v>46023</v>
      </c>
      <c r="B948" s="53"/>
      <c r="C948" s="55"/>
      <c r="D948" s="56"/>
      <c r="E948" s="57"/>
      <c r="F948" s="55"/>
      <c r="G948" s="57"/>
      <c r="H948" s="58"/>
      <c r="I948" s="26"/>
      <c r="J948" s="61"/>
      <c r="K948" s="64"/>
      <c r="L948" s="11"/>
      <c r="M948" s="53"/>
      <c r="N948" s="42"/>
      <c r="O948" s="43"/>
      <c r="P948" s="36"/>
      <c r="Q948" s="43"/>
      <c r="R948" s="36"/>
      <c r="S948" s="37"/>
      <c r="T948" s="76">
        <f t="shared" ref="T948" si="294">R948-P948</f>
        <v>0</v>
      </c>
      <c r="U948" s="77"/>
      <c r="V948" s="80"/>
      <c r="W948" s="80"/>
      <c r="X948" s="80"/>
      <c r="Y948" s="83"/>
      <c r="Z948" s="86"/>
      <c r="AA948" s="48"/>
      <c r="AB948" s="48"/>
      <c r="AC948" s="96"/>
      <c r="AD948" s="99"/>
      <c r="AE948" s="101"/>
    </row>
    <row r="949" spans="1:31" ht="17.100000000000001" customHeight="1" x14ac:dyDescent="0.25">
      <c r="A949" s="51"/>
      <c r="B949" s="54"/>
      <c r="C949" s="68"/>
      <c r="D949" s="69"/>
      <c r="E949" s="70"/>
      <c r="F949" s="68"/>
      <c r="G949" s="70"/>
      <c r="H949" s="59"/>
      <c r="I949" s="24"/>
      <c r="J949" s="62"/>
      <c r="K949" s="65"/>
      <c r="L949" s="17"/>
      <c r="M949" s="54"/>
      <c r="N949" s="44"/>
      <c r="O949" s="45"/>
      <c r="P949" s="38"/>
      <c r="Q949" s="45"/>
      <c r="R949" s="38"/>
      <c r="S949" s="39"/>
      <c r="T949" s="32"/>
      <c r="U949" s="78"/>
      <c r="V949" s="81"/>
      <c r="W949" s="81"/>
      <c r="X949" s="81"/>
      <c r="Y949" s="84"/>
      <c r="Z949" s="34"/>
      <c r="AA949" s="29"/>
      <c r="AB949" s="29"/>
      <c r="AC949" s="97"/>
      <c r="AD949" s="100"/>
      <c r="AE949" s="102"/>
    </row>
    <row r="950" spans="1:31" ht="17.100000000000001" customHeight="1" x14ac:dyDescent="0.25">
      <c r="A950" s="51"/>
      <c r="B950" s="66"/>
      <c r="C950" s="68"/>
      <c r="D950" s="69"/>
      <c r="E950" s="70"/>
      <c r="F950" s="68"/>
      <c r="G950" s="70"/>
      <c r="H950" s="59"/>
      <c r="I950" s="27"/>
      <c r="J950" s="63"/>
      <c r="K950" s="71"/>
      <c r="L950" s="18"/>
      <c r="M950" s="66"/>
      <c r="N950" s="46"/>
      <c r="O950" s="47"/>
      <c r="P950" s="40"/>
      <c r="Q950" s="47"/>
      <c r="R950" s="40"/>
      <c r="S950" s="41"/>
      <c r="T950" s="31">
        <f>(P951-P948)+(R948-R951)</f>
        <v>0</v>
      </c>
      <c r="U950" s="78"/>
      <c r="V950" s="81"/>
      <c r="W950" s="81"/>
      <c r="X950" s="81"/>
      <c r="Y950" s="84"/>
      <c r="Z950" s="87"/>
      <c r="AA950" s="49"/>
      <c r="AB950" s="49"/>
      <c r="AC950" s="98"/>
      <c r="AD950" s="104"/>
      <c r="AE950" s="102"/>
    </row>
    <row r="951" spans="1:31" ht="17.100000000000001" customHeight="1" x14ac:dyDescent="0.25">
      <c r="A951" s="51"/>
      <c r="B951" s="54"/>
      <c r="C951" s="68"/>
      <c r="D951" s="69"/>
      <c r="E951" s="70"/>
      <c r="F951" s="68"/>
      <c r="G951" s="70"/>
      <c r="H951" s="59"/>
      <c r="I951" s="23"/>
      <c r="J951" s="88"/>
      <c r="K951" s="65"/>
      <c r="L951" s="18"/>
      <c r="M951" s="54"/>
      <c r="N951" s="90">
        <f>(P948-N948)+(P951-P948)+(R948-R951)</f>
        <v>0</v>
      </c>
      <c r="O951" s="91"/>
      <c r="P951" s="90"/>
      <c r="Q951" s="91"/>
      <c r="R951" s="90"/>
      <c r="S951" s="94"/>
      <c r="T951" s="32"/>
      <c r="U951" s="78"/>
      <c r="V951" s="81"/>
      <c r="W951" s="81"/>
      <c r="X951" s="81"/>
      <c r="Y951" s="84"/>
      <c r="Z951" s="34"/>
      <c r="AA951" s="28"/>
      <c r="AB951" s="28"/>
      <c r="AC951" s="97"/>
      <c r="AD951" s="100"/>
      <c r="AE951" s="102"/>
    </row>
    <row r="952" spans="1:31" ht="17.100000000000001" customHeight="1" x14ac:dyDescent="0.25">
      <c r="A952" s="51"/>
      <c r="B952" s="66"/>
      <c r="C952" s="68"/>
      <c r="D952" s="69"/>
      <c r="E952" s="70"/>
      <c r="F952" s="68"/>
      <c r="G952" s="70"/>
      <c r="H952" s="59"/>
      <c r="I952" s="24"/>
      <c r="J952" s="62"/>
      <c r="K952" s="71" t="s">
        <v>51</v>
      </c>
      <c r="L952" s="16" t="s">
        <v>51</v>
      </c>
      <c r="M952" s="66" t="s">
        <v>51</v>
      </c>
      <c r="N952" s="38"/>
      <c r="O952" s="45"/>
      <c r="P952" s="38"/>
      <c r="Q952" s="45"/>
      <c r="R952" s="38"/>
      <c r="S952" s="39"/>
      <c r="T952" s="31">
        <f t="shared" ref="T952" si="295">R951-P951</f>
        <v>0</v>
      </c>
      <c r="U952" s="78"/>
      <c r="V952" s="81"/>
      <c r="W952" s="81"/>
      <c r="X952" s="81"/>
      <c r="Y952" s="84"/>
      <c r="Z952" s="34"/>
      <c r="AA952" s="29"/>
      <c r="AB952" s="29"/>
      <c r="AC952" s="97"/>
      <c r="AD952" s="104"/>
      <c r="AE952" s="102"/>
    </row>
    <row r="953" spans="1:31" ht="17.100000000000001" customHeight="1" thickBot="1" x14ac:dyDescent="0.3">
      <c r="A953" s="52"/>
      <c r="B953" s="67"/>
      <c r="C953" s="73"/>
      <c r="D953" s="74"/>
      <c r="E953" s="75"/>
      <c r="F953" s="73"/>
      <c r="G953" s="75"/>
      <c r="H953" s="60"/>
      <c r="I953" s="25"/>
      <c r="J953" s="89"/>
      <c r="K953" s="72"/>
      <c r="L953" s="19" t="s">
        <v>52</v>
      </c>
      <c r="M953" s="67"/>
      <c r="N953" s="92"/>
      <c r="O953" s="93"/>
      <c r="P953" s="92"/>
      <c r="Q953" s="93"/>
      <c r="R953" s="92"/>
      <c r="S953" s="95"/>
      <c r="T953" s="33"/>
      <c r="U953" s="79"/>
      <c r="V953" s="82"/>
      <c r="W953" s="82"/>
      <c r="X953" s="82"/>
      <c r="Y953" s="85"/>
      <c r="Z953" s="35"/>
      <c r="AA953" s="30"/>
      <c r="AB953" s="30"/>
      <c r="AC953" s="105"/>
      <c r="AD953" s="106"/>
      <c r="AE953" s="103"/>
    </row>
    <row r="954" spans="1:31" ht="17.100000000000001" customHeight="1" x14ac:dyDescent="0.25">
      <c r="A954" s="50">
        <v>46023</v>
      </c>
      <c r="B954" s="53"/>
      <c r="C954" s="55"/>
      <c r="D954" s="56"/>
      <c r="E954" s="57"/>
      <c r="F954" s="55"/>
      <c r="G954" s="57"/>
      <c r="H954" s="58"/>
      <c r="I954" s="26"/>
      <c r="J954" s="61"/>
      <c r="K954" s="64"/>
      <c r="L954" s="11"/>
      <c r="M954" s="53"/>
      <c r="N954" s="42"/>
      <c r="O954" s="43"/>
      <c r="P954" s="36"/>
      <c r="Q954" s="43"/>
      <c r="R954" s="36"/>
      <c r="S954" s="37"/>
      <c r="T954" s="76">
        <f t="shared" ref="T954" si="296">R954-P954</f>
        <v>0</v>
      </c>
      <c r="U954" s="77"/>
      <c r="V954" s="80"/>
      <c r="W954" s="80"/>
      <c r="X954" s="80"/>
      <c r="Y954" s="83"/>
      <c r="Z954" s="86"/>
      <c r="AA954" s="48"/>
      <c r="AB954" s="48"/>
      <c r="AC954" s="96"/>
      <c r="AD954" s="99"/>
      <c r="AE954" s="101"/>
    </row>
    <row r="955" spans="1:31" ht="17.100000000000001" customHeight="1" x14ac:dyDescent="0.25">
      <c r="A955" s="51"/>
      <c r="B955" s="54"/>
      <c r="C955" s="68"/>
      <c r="D955" s="69"/>
      <c r="E955" s="70"/>
      <c r="F955" s="68"/>
      <c r="G955" s="70"/>
      <c r="H955" s="59"/>
      <c r="I955" s="24"/>
      <c r="J955" s="62"/>
      <c r="K955" s="65"/>
      <c r="L955" s="17"/>
      <c r="M955" s="54"/>
      <c r="N955" s="44"/>
      <c r="O955" s="45"/>
      <c r="P955" s="38"/>
      <c r="Q955" s="45"/>
      <c r="R955" s="38"/>
      <c r="S955" s="39"/>
      <c r="T955" s="32"/>
      <c r="U955" s="78"/>
      <c r="V955" s="81"/>
      <c r="W955" s="81"/>
      <c r="X955" s="81"/>
      <c r="Y955" s="84"/>
      <c r="Z955" s="34"/>
      <c r="AA955" s="29"/>
      <c r="AB955" s="29"/>
      <c r="AC955" s="97"/>
      <c r="AD955" s="100"/>
      <c r="AE955" s="102"/>
    </row>
    <row r="956" spans="1:31" ht="17.100000000000001" customHeight="1" x14ac:dyDescent="0.25">
      <c r="A956" s="51"/>
      <c r="B956" s="66"/>
      <c r="C956" s="68"/>
      <c r="D956" s="69"/>
      <c r="E956" s="70"/>
      <c r="F956" s="68"/>
      <c r="G956" s="70"/>
      <c r="H956" s="59"/>
      <c r="I956" s="27"/>
      <c r="J956" s="63"/>
      <c r="K956" s="71"/>
      <c r="L956" s="18"/>
      <c r="M956" s="66"/>
      <c r="N956" s="46"/>
      <c r="O956" s="47"/>
      <c r="P956" s="40"/>
      <c r="Q956" s="47"/>
      <c r="R956" s="40"/>
      <c r="S956" s="41"/>
      <c r="T956" s="31">
        <f>(P957-P954)+(R954-R957)</f>
        <v>0</v>
      </c>
      <c r="U956" s="78"/>
      <c r="V956" s="81"/>
      <c r="W956" s="81"/>
      <c r="X956" s="81"/>
      <c r="Y956" s="84"/>
      <c r="Z956" s="87"/>
      <c r="AA956" s="49"/>
      <c r="AB956" s="49"/>
      <c r="AC956" s="98"/>
      <c r="AD956" s="104"/>
      <c r="AE956" s="102"/>
    </row>
    <row r="957" spans="1:31" ht="17.100000000000001" customHeight="1" x14ac:dyDescent="0.25">
      <c r="A957" s="51"/>
      <c r="B957" s="54"/>
      <c r="C957" s="68"/>
      <c r="D957" s="69"/>
      <c r="E957" s="70"/>
      <c r="F957" s="68"/>
      <c r="G957" s="70"/>
      <c r="H957" s="59"/>
      <c r="I957" s="23"/>
      <c r="J957" s="88"/>
      <c r="K957" s="65"/>
      <c r="L957" s="18"/>
      <c r="M957" s="54"/>
      <c r="N957" s="90">
        <f>(P954-N954)+(P957-P954)+(R954-R957)</f>
        <v>0</v>
      </c>
      <c r="O957" s="91"/>
      <c r="P957" s="90"/>
      <c r="Q957" s="91"/>
      <c r="R957" s="90"/>
      <c r="S957" s="94"/>
      <c r="T957" s="32"/>
      <c r="U957" s="78"/>
      <c r="V957" s="81"/>
      <c r="W957" s="81"/>
      <c r="X957" s="81"/>
      <c r="Y957" s="84"/>
      <c r="Z957" s="34"/>
      <c r="AA957" s="28"/>
      <c r="AB957" s="28"/>
      <c r="AC957" s="97"/>
      <c r="AD957" s="100"/>
      <c r="AE957" s="102"/>
    </row>
    <row r="958" spans="1:31" ht="17.100000000000001" customHeight="1" x14ac:dyDescent="0.25">
      <c r="A958" s="51"/>
      <c r="B958" s="66"/>
      <c r="C958" s="68"/>
      <c r="D958" s="69"/>
      <c r="E958" s="70"/>
      <c r="F958" s="68"/>
      <c r="G958" s="70"/>
      <c r="H958" s="59"/>
      <c r="I958" s="24"/>
      <c r="J958" s="62"/>
      <c r="K958" s="71" t="s">
        <v>51</v>
      </c>
      <c r="L958" s="16" t="s">
        <v>51</v>
      </c>
      <c r="M958" s="66" t="s">
        <v>51</v>
      </c>
      <c r="N958" s="38"/>
      <c r="O958" s="45"/>
      <c r="P958" s="38"/>
      <c r="Q958" s="45"/>
      <c r="R958" s="38"/>
      <c r="S958" s="39"/>
      <c r="T958" s="31">
        <f t="shared" ref="T958" si="297">R957-P957</f>
        <v>0</v>
      </c>
      <c r="U958" s="78"/>
      <c r="V958" s="81"/>
      <c r="W958" s="81"/>
      <c r="X958" s="81"/>
      <c r="Y958" s="84"/>
      <c r="Z958" s="34"/>
      <c r="AA958" s="29"/>
      <c r="AB958" s="29"/>
      <c r="AC958" s="97"/>
      <c r="AD958" s="104"/>
      <c r="AE958" s="102"/>
    </row>
    <row r="959" spans="1:31" ht="17.100000000000001" customHeight="1" thickBot="1" x14ac:dyDescent="0.3">
      <c r="A959" s="52"/>
      <c r="B959" s="67"/>
      <c r="C959" s="73"/>
      <c r="D959" s="74"/>
      <c r="E959" s="75"/>
      <c r="F959" s="73"/>
      <c r="G959" s="75"/>
      <c r="H959" s="60"/>
      <c r="I959" s="25"/>
      <c r="J959" s="89"/>
      <c r="K959" s="72"/>
      <c r="L959" s="19" t="s">
        <v>52</v>
      </c>
      <c r="M959" s="67"/>
      <c r="N959" s="92"/>
      <c r="O959" s="93"/>
      <c r="P959" s="92"/>
      <c r="Q959" s="93"/>
      <c r="R959" s="92"/>
      <c r="S959" s="95"/>
      <c r="T959" s="33"/>
      <c r="U959" s="79"/>
      <c r="V959" s="82"/>
      <c r="W959" s="82"/>
      <c r="X959" s="82"/>
      <c r="Y959" s="85"/>
      <c r="Z959" s="35"/>
      <c r="AA959" s="30"/>
      <c r="AB959" s="30"/>
      <c r="AC959" s="105"/>
      <c r="AD959" s="106"/>
      <c r="AE959" s="103"/>
    </row>
    <row r="961" spans="1:31" ht="17.100000000000001" customHeight="1" thickBot="1" x14ac:dyDescent="0.3"/>
    <row r="962" spans="1:31" ht="17.100000000000001" customHeight="1" x14ac:dyDescent="0.25">
      <c r="A962" s="50">
        <v>46023</v>
      </c>
      <c r="B962" s="53"/>
      <c r="C962" s="55"/>
      <c r="D962" s="56"/>
      <c r="E962" s="57"/>
      <c r="F962" s="55"/>
      <c r="G962" s="57"/>
      <c r="H962" s="58"/>
      <c r="I962" s="26"/>
      <c r="J962" s="61"/>
      <c r="K962" s="64"/>
      <c r="L962" s="11"/>
      <c r="M962" s="53"/>
      <c r="N962" s="42"/>
      <c r="O962" s="43"/>
      <c r="P962" s="36"/>
      <c r="Q962" s="43"/>
      <c r="R962" s="36"/>
      <c r="S962" s="37"/>
      <c r="T962" s="76">
        <f t="shared" ref="T962" si="298">R962-P962</f>
        <v>0</v>
      </c>
      <c r="U962" s="77"/>
      <c r="V962" s="80"/>
      <c r="W962" s="80"/>
      <c r="X962" s="80"/>
      <c r="Y962" s="83"/>
      <c r="Z962" s="86"/>
      <c r="AA962" s="48"/>
      <c r="AB962" s="48"/>
      <c r="AC962" s="96"/>
      <c r="AD962" s="99"/>
      <c r="AE962" s="101"/>
    </row>
    <row r="963" spans="1:31" ht="17.100000000000001" customHeight="1" x14ac:dyDescent="0.25">
      <c r="A963" s="51"/>
      <c r="B963" s="54"/>
      <c r="C963" s="68"/>
      <c r="D963" s="69"/>
      <c r="E963" s="70"/>
      <c r="F963" s="68"/>
      <c r="G963" s="70"/>
      <c r="H963" s="59"/>
      <c r="I963" s="24"/>
      <c r="J963" s="62"/>
      <c r="K963" s="65"/>
      <c r="L963" s="17"/>
      <c r="M963" s="54"/>
      <c r="N963" s="44"/>
      <c r="O963" s="45"/>
      <c r="P963" s="38"/>
      <c r="Q963" s="45"/>
      <c r="R963" s="38"/>
      <c r="S963" s="39"/>
      <c r="T963" s="32"/>
      <c r="U963" s="78"/>
      <c r="V963" s="81"/>
      <c r="W963" s="81"/>
      <c r="X963" s="81"/>
      <c r="Y963" s="84"/>
      <c r="Z963" s="34"/>
      <c r="AA963" s="29"/>
      <c r="AB963" s="29"/>
      <c r="AC963" s="97"/>
      <c r="AD963" s="100"/>
      <c r="AE963" s="102"/>
    </row>
    <row r="964" spans="1:31" ht="17.100000000000001" customHeight="1" x14ac:dyDescent="0.25">
      <c r="A964" s="51"/>
      <c r="B964" s="66"/>
      <c r="C964" s="68"/>
      <c r="D964" s="69"/>
      <c r="E964" s="70"/>
      <c r="F964" s="68"/>
      <c r="G964" s="70"/>
      <c r="H964" s="59"/>
      <c r="I964" s="27"/>
      <c r="J964" s="63"/>
      <c r="K964" s="71"/>
      <c r="L964" s="18"/>
      <c r="M964" s="66"/>
      <c r="N964" s="46"/>
      <c r="O964" s="47"/>
      <c r="P964" s="40"/>
      <c r="Q964" s="47"/>
      <c r="R964" s="40"/>
      <c r="S964" s="41"/>
      <c r="T964" s="31">
        <f>(P965-P962)+(R962-R965)</f>
        <v>0</v>
      </c>
      <c r="U964" s="78"/>
      <c r="V964" s="81"/>
      <c r="W964" s="81"/>
      <c r="X964" s="81"/>
      <c r="Y964" s="84"/>
      <c r="Z964" s="87"/>
      <c r="AA964" s="49"/>
      <c r="AB964" s="49"/>
      <c r="AC964" s="98"/>
      <c r="AD964" s="104"/>
      <c r="AE964" s="102"/>
    </row>
    <row r="965" spans="1:31" ht="17.100000000000001" customHeight="1" x14ac:dyDescent="0.25">
      <c r="A965" s="51"/>
      <c r="B965" s="54"/>
      <c r="C965" s="68"/>
      <c r="D965" s="69"/>
      <c r="E965" s="70"/>
      <c r="F965" s="68"/>
      <c r="G965" s="70"/>
      <c r="H965" s="59"/>
      <c r="I965" s="23"/>
      <c r="J965" s="88"/>
      <c r="K965" s="65"/>
      <c r="L965" s="18"/>
      <c r="M965" s="54"/>
      <c r="N965" s="90">
        <f>(P962-N962)+(P965-P962)+(R962-R965)</f>
        <v>0</v>
      </c>
      <c r="O965" s="91"/>
      <c r="P965" s="90"/>
      <c r="Q965" s="91"/>
      <c r="R965" s="90"/>
      <c r="S965" s="94"/>
      <c r="T965" s="32"/>
      <c r="U965" s="78"/>
      <c r="V965" s="81"/>
      <c r="W965" s="81"/>
      <c r="X965" s="81"/>
      <c r="Y965" s="84"/>
      <c r="Z965" s="34"/>
      <c r="AA965" s="28"/>
      <c r="AB965" s="28"/>
      <c r="AC965" s="97"/>
      <c r="AD965" s="100"/>
      <c r="AE965" s="102"/>
    </row>
    <row r="966" spans="1:31" ht="17.100000000000001" customHeight="1" x14ac:dyDescent="0.25">
      <c r="A966" s="51"/>
      <c r="B966" s="66"/>
      <c r="C966" s="68"/>
      <c r="D966" s="69"/>
      <c r="E966" s="70"/>
      <c r="F966" s="68"/>
      <c r="G966" s="70"/>
      <c r="H966" s="59"/>
      <c r="I966" s="24"/>
      <c r="J966" s="62"/>
      <c r="K966" s="71" t="s">
        <v>51</v>
      </c>
      <c r="L966" s="16" t="s">
        <v>51</v>
      </c>
      <c r="M966" s="66" t="s">
        <v>51</v>
      </c>
      <c r="N966" s="38"/>
      <c r="O966" s="45"/>
      <c r="P966" s="38"/>
      <c r="Q966" s="45"/>
      <c r="R966" s="38"/>
      <c r="S966" s="39"/>
      <c r="T966" s="31">
        <f t="shared" ref="T966" si="299">R965-P965</f>
        <v>0</v>
      </c>
      <c r="U966" s="78"/>
      <c r="V966" s="81"/>
      <c r="W966" s="81"/>
      <c r="X966" s="81"/>
      <c r="Y966" s="84"/>
      <c r="Z966" s="34"/>
      <c r="AA966" s="29"/>
      <c r="AB966" s="29"/>
      <c r="AC966" s="97"/>
      <c r="AD966" s="104"/>
      <c r="AE966" s="102"/>
    </row>
    <row r="967" spans="1:31" ht="17.100000000000001" customHeight="1" thickBot="1" x14ac:dyDescent="0.3">
      <c r="A967" s="52"/>
      <c r="B967" s="67"/>
      <c r="C967" s="73"/>
      <c r="D967" s="74"/>
      <c r="E967" s="75"/>
      <c r="F967" s="73"/>
      <c r="G967" s="75"/>
      <c r="H967" s="60"/>
      <c r="I967" s="25"/>
      <c r="J967" s="89"/>
      <c r="K967" s="72"/>
      <c r="L967" s="19" t="s">
        <v>52</v>
      </c>
      <c r="M967" s="67"/>
      <c r="N967" s="92"/>
      <c r="O967" s="93"/>
      <c r="P967" s="92"/>
      <c r="Q967" s="93"/>
      <c r="R967" s="92"/>
      <c r="S967" s="95"/>
      <c r="T967" s="33"/>
      <c r="U967" s="79"/>
      <c r="V967" s="82"/>
      <c r="W967" s="82"/>
      <c r="X967" s="82"/>
      <c r="Y967" s="85"/>
      <c r="Z967" s="35"/>
      <c r="AA967" s="30"/>
      <c r="AB967" s="30"/>
      <c r="AC967" s="105"/>
      <c r="AD967" s="106"/>
      <c r="AE967" s="103"/>
    </row>
    <row r="968" spans="1:31" ht="17.100000000000001" customHeight="1" x14ac:dyDescent="0.25">
      <c r="A968" s="50">
        <v>46023</v>
      </c>
      <c r="B968" s="53"/>
      <c r="C968" s="55"/>
      <c r="D968" s="56"/>
      <c r="E968" s="57"/>
      <c r="F968" s="55"/>
      <c r="G968" s="57"/>
      <c r="H968" s="58"/>
      <c r="I968" s="26"/>
      <c r="J968" s="61"/>
      <c r="K968" s="64"/>
      <c r="L968" s="11"/>
      <c r="M968" s="53"/>
      <c r="N968" s="42"/>
      <c r="O968" s="43"/>
      <c r="P968" s="36"/>
      <c r="Q968" s="43"/>
      <c r="R968" s="36"/>
      <c r="S968" s="37"/>
      <c r="T968" s="76">
        <f t="shared" ref="T968" si="300">R968-P968</f>
        <v>0</v>
      </c>
      <c r="U968" s="77"/>
      <c r="V968" s="80"/>
      <c r="W968" s="80"/>
      <c r="X968" s="80"/>
      <c r="Y968" s="83"/>
      <c r="Z968" s="86"/>
      <c r="AA968" s="48"/>
      <c r="AB968" s="48"/>
      <c r="AC968" s="96"/>
      <c r="AD968" s="99"/>
      <c r="AE968" s="101"/>
    </row>
    <row r="969" spans="1:31" ht="17.100000000000001" customHeight="1" x14ac:dyDescent="0.25">
      <c r="A969" s="51"/>
      <c r="B969" s="54"/>
      <c r="C969" s="68"/>
      <c r="D969" s="69"/>
      <c r="E969" s="70"/>
      <c r="F969" s="68"/>
      <c r="G969" s="70"/>
      <c r="H969" s="59"/>
      <c r="I969" s="24"/>
      <c r="J969" s="62"/>
      <c r="K969" s="65"/>
      <c r="L969" s="17"/>
      <c r="M969" s="54"/>
      <c r="N969" s="44"/>
      <c r="O969" s="45"/>
      <c r="P969" s="38"/>
      <c r="Q969" s="45"/>
      <c r="R969" s="38"/>
      <c r="S969" s="39"/>
      <c r="T969" s="32"/>
      <c r="U969" s="78"/>
      <c r="V969" s="81"/>
      <c r="W969" s="81"/>
      <c r="X969" s="81"/>
      <c r="Y969" s="84"/>
      <c r="Z969" s="34"/>
      <c r="AA969" s="29"/>
      <c r="AB969" s="29"/>
      <c r="AC969" s="97"/>
      <c r="AD969" s="100"/>
      <c r="AE969" s="102"/>
    </row>
    <row r="970" spans="1:31" ht="17.100000000000001" customHeight="1" x14ac:dyDescent="0.25">
      <c r="A970" s="51"/>
      <c r="B970" s="66"/>
      <c r="C970" s="68"/>
      <c r="D970" s="69"/>
      <c r="E970" s="70"/>
      <c r="F970" s="68"/>
      <c r="G970" s="70"/>
      <c r="H970" s="59"/>
      <c r="I970" s="27"/>
      <c r="J970" s="63"/>
      <c r="K970" s="71"/>
      <c r="L970" s="18"/>
      <c r="M970" s="66"/>
      <c r="N970" s="46"/>
      <c r="O970" s="47"/>
      <c r="P970" s="40"/>
      <c r="Q970" s="47"/>
      <c r="R970" s="40"/>
      <c r="S970" s="41"/>
      <c r="T970" s="31">
        <f>(P971-P968)+(R968-R971)</f>
        <v>0</v>
      </c>
      <c r="U970" s="78"/>
      <c r="V970" s="81"/>
      <c r="W970" s="81"/>
      <c r="X970" s="81"/>
      <c r="Y970" s="84"/>
      <c r="Z970" s="87"/>
      <c r="AA970" s="49"/>
      <c r="AB970" s="49"/>
      <c r="AC970" s="98"/>
      <c r="AD970" s="104"/>
      <c r="AE970" s="102"/>
    </row>
    <row r="971" spans="1:31" ht="17.100000000000001" customHeight="1" x14ac:dyDescent="0.25">
      <c r="A971" s="51"/>
      <c r="B971" s="54"/>
      <c r="C971" s="68"/>
      <c r="D971" s="69"/>
      <c r="E971" s="70"/>
      <c r="F971" s="68"/>
      <c r="G971" s="70"/>
      <c r="H971" s="59"/>
      <c r="I971" s="23"/>
      <c r="J971" s="88"/>
      <c r="K971" s="65"/>
      <c r="L971" s="18"/>
      <c r="M971" s="54"/>
      <c r="N971" s="90">
        <f>(P968-N968)+(P971-P968)+(R968-R971)</f>
        <v>0</v>
      </c>
      <c r="O971" s="91"/>
      <c r="P971" s="90"/>
      <c r="Q971" s="91"/>
      <c r="R971" s="90"/>
      <c r="S971" s="94"/>
      <c r="T971" s="32"/>
      <c r="U971" s="78"/>
      <c r="V971" s="81"/>
      <c r="W971" s="81"/>
      <c r="X971" s="81"/>
      <c r="Y971" s="84"/>
      <c r="Z971" s="34"/>
      <c r="AA971" s="28"/>
      <c r="AB971" s="28"/>
      <c r="AC971" s="97"/>
      <c r="AD971" s="100"/>
      <c r="AE971" s="102"/>
    </row>
    <row r="972" spans="1:31" ht="17.100000000000001" customHeight="1" x14ac:dyDescent="0.25">
      <c r="A972" s="51"/>
      <c r="B972" s="66"/>
      <c r="C972" s="68"/>
      <c r="D972" s="69"/>
      <c r="E972" s="70"/>
      <c r="F972" s="68"/>
      <c r="G972" s="70"/>
      <c r="H972" s="59"/>
      <c r="I972" s="24"/>
      <c r="J972" s="62"/>
      <c r="K972" s="71" t="s">
        <v>51</v>
      </c>
      <c r="L972" s="16" t="s">
        <v>51</v>
      </c>
      <c r="M972" s="66" t="s">
        <v>51</v>
      </c>
      <c r="N972" s="38"/>
      <c r="O972" s="45"/>
      <c r="P972" s="38"/>
      <c r="Q972" s="45"/>
      <c r="R972" s="38"/>
      <c r="S972" s="39"/>
      <c r="T972" s="31">
        <f t="shared" ref="T972" si="301">R971-P971</f>
        <v>0</v>
      </c>
      <c r="U972" s="78"/>
      <c r="V972" s="81"/>
      <c r="W972" s="81"/>
      <c r="X972" s="81"/>
      <c r="Y972" s="84"/>
      <c r="Z972" s="34"/>
      <c r="AA972" s="29"/>
      <c r="AB972" s="29"/>
      <c r="AC972" s="97"/>
      <c r="AD972" s="104"/>
      <c r="AE972" s="102"/>
    </row>
    <row r="973" spans="1:31" ht="17.100000000000001" customHeight="1" thickBot="1" x14ac:dyDescent="0.3">
      <c r="A973" s="52"/>
      <c r="B973" s="67"/>
      <c r="C973" s="73"/>
      <c r="D973" s="74"/>
      <c r="E973" s="75"/>
      <c r="F973" s="73"/>
      <c r="G973" s="75"/>
      <c r="H973" s="60"/>
      <c r="I973" s="25"/>
      <c r="J973" s="89"/>
      <c r="K973" s="72"/>
      <c r="L973" s="19" t="s">
        <v>52</v>
      </c>
      <c r="M973" s="67"/>
      <c r="N973" s="92"/>
      <c r="O973" s="93"/>
      <c r="P973" s="92"/>
      <c r="Q973" s="93"/>
      <c r="R973" s="92"/>
      <c r="S973" s="95"/>
      <c r="T973" s="33"/>
      <c r="U973" s="79"/>
      <c r="V973" s="82"/>
      <c r="W973" s="82"/>
      <c r="X973" s="82"/>
      <c r="Y973" s="85"/>
      <c r="Z973" s="35"/>
      <c r="AA973" s="30"/>
      <c r="AB973" s="30"/>
      <c r="AC973" s="105"/>
      <c r="AD973" s="106"/>
      <c r="AE973" s="103"/>
    </row>
    <row r="974" spans="1:31" ht="17.100000000000001" customHeight="1" x14ac:dyDescent="0.25">
      <c r="A974" s="50">
        <v>46023</v>
      </c>
      <c r="B974" s="53"/>
      <c r="C974" s="55"/>
      <c r="D974" s="56"/>
      <c r="E974" s="57"/>
      <c r="F974" s="55"/>
      <c r="G974" s="57"/>
      <c r="H974" s="58"/>
      <c r="I974" s="26"/>
      <c r="J974" s="61"/>
      <c r="K974" s="64"/>
      <c r="L974" s="11"/>
      <c r="M974" s="53"/>
      <c r="N974" s="42"/>
      <c r="O974" s="43"/>
      <c r="P974" s="36"/>
      <c r="Q974" s="43"/>
      <c r="R974" s="36"/>
      <c r="S974" s="37"/>
      <c r="T974" s="76">
        <f t="shared" ref="T974" si="302">R974-P974</f>
        <v>0</v>
      </c>
      <c r="U974" s="77"/>
      <c r="V974" s="80"/>
      <c r="W974" s="80"/>
      <c r="X974" s="80"/>
      <c r="Y974" s="83"/>
      <c r="Z974" s="86"/>
      <c r="AA974" s="48"/>
      <c r="AB974" s="48"/>
      <c r="AC974" s="96"/>
      <c r="AD974" s="99"/>
      <c r="AE974" s="101"/>
    </row>
    <row r="975" spans="1:31" ht="17.100000000000001" customHeight="1" x14ac:dyDescent="0.25">
      <c r="A975" s="51"/>
      <c r="B975" s="54"/>
      <c r="C975" s="68"/>
      <c r="D975" s="69"/>
      <c r="E975" s="70"/>
      <c r="F975" s="68"/>
      <c r="G975" s="70"/>
      <c r="H975" s="59"/>
      <c r="I975" s="24"/>
      <c r="J975" s="62"/>
      <c r="K975" s="65"/>
      <c r="L975" s="17"/>
      <c r="M975" s="54"/>
      <c r="N975" s="44"/>
      <c r="O975" s="45"/>
      <c r="P975" s="38"/>
      <c r="Q975" s="45"/>
      <c r="R975" s="38"/>
      <c r="S975" s="39"/>
      <c r="T975" s="32"/>
      <c r="U975" s="78"/>
      <c r="V975" s="81"/>
      <c r="W975" s="81"/>
      <c r="X975" s="81"/>
      <c r="Y975" s="84"/>
      <c r="Z975" s="34"/>
      <c r="AA975" s="29"/>
      <c r="AB975" s="29"/>
      <c r="AC975" s="97"/>
      <c r="AD975" s="100"/>
      <c r="AE975" s="102"/>
    </row>
    <row r="976" spans="1:31" ht="17.100000000000001" customHeight="1" x14ac:dyDescent="0.25">
      <c r="A976" s="51"/>
      <c r="B976" s="66"/>
      <c r="C976" s="68"/>
      <c r="D976" s="69"/>
      <c r="E976" s="70"/>
      <c r="F976" s="68"/>
      <c r="G976" s="70"/>
      <c r="H976" s="59"/>
      <c r="I976" s="27"/>
      <c r="J976" s="63"/>
      <c r="K976" s="71"/>
      <c r="L976" s="18"/>
      <c r="M976" s="66"/>
      <c r="N976" s="46"/>
      <c r="O976" s="47"/>
      <c r="P976" s="40"/>
      <c r="Q976" s="47"/>
      <c r="R976" s="40"/>
      <c r="S976" s="41"/>
      <c r="T976" s="31">
        <f>(P977-P974)+(R974-R977)</f>
        <v>0</v>
      </c>
      <c r="U976" s="78"/>
      <c r="V976" s="81"/>
      <c r="W976" s="81"/>
      <c r="X976" s="81"/>
      <c r="Y976" s="84"/>
      <c r="Z976" s="87"/>
      <c r="AA976" s="49"/>
      <c r="AB976" s="49"/>
      <c r="AC976" s="98"/>
      <c r="AD976" s="104"/>
      <c r="AE976" s="102"/>
    </row>
    <row r="977" spans="1:31" ht="17.100000000000001" customHeight="1" x14ac:dyDescent="0.25">
      <c r="A977" s="51"/>
      <c r="B977" s="54"/>
      <c r="C977" s="68"/>
      <c r="D977" s="69"/>
      <c r="E977" s="70"/>
      <c r="F977" s="68"/>
      <c r="G977" s="70"/>
      <c r="H977" s="59"/>
      <c r="I977" s="23"/>
      <c r="J977" s="88"/>
      <c r="K977" s="65"/>
      <c r="L977" s="18"/>
      <c r="M977" s="54"/>
      <c r="N977" s="90">
        <f>(P974-N974)+(P977-P974)+(R974-R977)</f>
        <v>0</v>
      </c>
      <c r="O977" s="91"/>
      <c r="P977" s="90"/>
      <c r="Q977" s="91"/>
      <c r="R977" s="90"/>
      <c r="S977" s="94"/>
      <c r="T977" s="32"/>
      <c r="U977" s="78"/>
      <c r="V977" s="81"/>
      <c r="W977" s="81"/>
      <c r="X977" s="81"/>
      <c r="Y977" s="84"/>
      <c r="Z977" s="34"/>
      <c r="AA977" s="28"/>
      <c r="AB977" s="28"/>
      <c r="AC977" s="97"/>
      <c r="AD977" s="100"/>
      <c r="AE977" s="102"/>
    </row>
    <row r="978" spans="1:31" ht="17.100000000000001" customHeight="1" x14ac:dyDescent="0.25">
      <c r="A978" s="51"/>
      <c r="B978" s="66"/>
      <c r="C978" s="68"/>
      <c r="D978" s="69"/>
      <c r="E978" s="70"/>
      <c r="F978" s="68"/>
      <c r="G978" s="70"/>
      <c r="H978" s="59"/>
      <c r="I978" s="24"/>
      <c r="J978" s="62"/>
      <c r="K978" s="71" t="s">
        <v>51</v>
      </c>
      <c r="L978" s="16" t="s">
        <v>51</v>
      </c>
      <c r="M978" s="66" t="s">
        <v>51</v>
      </c>
      <c r="N978" s="38"/>
      <c r="O978" s="45"/>
      <c r="P978" s="38"/>
      <c r="Q978" s="45"/>
      <c r="R978" s="38"/>
      <c r="S978" s="39"/>
      <c r="T978" s="31">
        <f t="shared" ref="T978" si="303">R977-P977</f>
        <v>0</v>
      </c>
      <c r="U978" s="78"/>
      <c r="V978" s="81"/>
      <c r="W978" s="81"/>
      <c r="X978" s="81"/>
      <c r="Y978" s="84"/>
      <c r="Z978" s="34"/>
      <c r="AA978" s="29"/>
      <c r="AB978" s="29"/>
      <c r="AC978" s="97"/>
      <c r="AD978" s="104"/>
      <c r="AE978" s="102"/>
    </row>
    <row r="979" spans="1:31" ht="17.100000000000001" customHeight="1" thickBot="1" x14ac:dyDescent="0.3">
      <c r="A979" s="52"/>
      <c r="B979" s="67"/>
      <c r="C979" s="73"/>
      <c r="D979" s="74"/>
      <c r="E979" s="75"/>
      <c r="F979" s="73"/>
      <c r="G979" s="75"/>
      <c r="H979" s="60"/>
      <c r="I979" s="25"/>
      <c r="J979" s="89"/>
      <c r="K979" s="72"/>
      <c r="L979" s="19" t="s">
        <v>52</v>
      </c>
      <c r="M979" s="67"/>
      <c r="N979" s="92"/>
      <c r="O979" s="93"/>
      <c r="P979" s="92"/>
      <c r="Q979" s="93"/>
      <c r="R979" s="92"/>
      <c r="S979" s="95"/>
      <c r="T979" s="33"/>
      <c r="U979" s="79"/>
      <c r="V979" s="82"/>
      <c r="W979" s="82"/>
      <c r="X979" s="82"/>
      <c r="Y979" s="85"/>
      <c r="Z979" s="35"/>
      <c r="AA979" s="30"/>
      <c r="AB979" s="30"/>
      <c r="AC979" s="105"/>
      <c r="AD979" s="106"/>
      <c r="AE979" s="103"/>
    </row>
    <row r="980" spans="1:31" ht="17.100000000000001" customHeight="1" x14ac:dyDescent="0.25">
      <c r="A980" s="50">
        <v>46023</v>
      </c>
      <c r="B980" s="53"/>
      <c r="C980" s="55"/>
      <c r="D980" s="56"/>
      <c r="E980" s="57"/>
      <c r="F980" s="55"/>
      <c r="G980" s="57"/>
      <c r="H980" s="58"/>
      <c r="I980" s="26"/>
      <c r="J980" s="61"/>
      <c r="K980" s="64"/>
      <c r="L980" s="11"/>
      <c r="M980" s="53"/>
      <c r="N980" s="42"/>
      <c r="O980" s="43"/>
      <c r="P980" s="36"/>
      <c r="Q980" s="43"/>
      <c r="R980" s="36"/>
      <c r="S980" s="37"/>
      <c r="T980" s="76">
        <f t="shared" ref="T980" si="304">R980-P980</f>
        <v>0</v>
      </c>
      <c r="U980" s="77"/>
      <c r="V980" s="80"/>
      <c r="W980" s="80"/>
      <c r="X980" s="80"/>
      <c r="Y980" s="83"/>
      <c r="Z980" s="86"/>
      <c r="AA980" s="48"/>
      <c r="AB980" s="48"/>
      <c r="AC980" s="96"/>
      <c r="AD980" s="99"/>
      <c r="AE980" s="101"/>
    </row>
    <row r="981" spans="1:31" ht="17.100000000000001" customHeight="1" x14ac:dyDescent="0.25">
      <c r="A981" s="51"/>
      <c r="B981" s="54"/>
      <c r="C981" s="68"/>
      <c r="D981" s="69"/>
      <c r="E981" s="70"/>
      <c r="F981" s="68"/>
      <c r="G981" s="70"/>
      <c r="H981" s="59"/>
      <c r="I981" s="24"/>
      <c r="J981" s="62"/>
      <c r="K981" s="65"/>
      <c r="L981" s="17"/>
      <c r="M981" s="54"/>
      <c r="N981" s="44"/>
      <c r="O981" s="45"/>
      <c r="P981" s="38"/>
      <c r="Q981" s="45"/>
      <c r="R981" s="38"/>
      <c r="S981" s="39"/>
      <c r="T981" s="32"/>
      <c r="U981" s="78"/>
      <c r="V981" s="81"/>
      <c r="W981" s="81"/>
      <c r="X981" s="81"/>
      <c r="Y981" s="84"/>
      <c r="Z981" s="34"/>
      <c r="AA981" s="29"/>
      <c r="AB981" s="29"/>
      <c r="AC981" s="97"/>
      <c r="AD981" s="100"/>
      <c r="AE981" s="102"/>
    </row>
    <row r="982" spans="1:31" ht="17.100000000000001" customHeight="1" x14ac:dyDescent="0.25">
      <c r="A982" s="51"/>
      <c r="B982" s="66"/>
      <c r="C982" s="68"/>
      <c r="D982" s="69"/>
      <c r="E982" s="70"/>
      <c r="F982" s="68"/>
      <c r="G982" s="70"/>
      <c r="H982" s="59"/>
      <c r="I982" s="27"/>
      <c r="J982" s="63"/>
      <c r="K982" s="71"/>
      <c r="L982" s="18"/>
      <c r="M982" s="66"/>
      <c r="N982" s="46"/>
      <c r="O982" s="47"/>
      <c r="P982" s="40"/>
      <c r="Q982" s="47"/>
      <c r="R982" s="40"/>
      <c r="S982" s="41"/>
      <c r="T982" s="31">
        <f>(P983-P980)+(R980-R983)</f>
        <v>0</v>
      </c>
      <c r="U982" s="78"/>
      <c r="V982" s="81"/>
      <c r="W982" s="81"/>
      <c r="X982" s="81"/>
      <c r="Y982" s="84"/>
      <c r="Z982" s="87"/>
      <c r="AA982" s="49"/>
      <c r="AB982" s="49"/>
      <c r="AC982" s="98"/>
      <c r="AD982" s="104"/>
      <c r="AE982" s="102"/>
    </row>
    <row r="983" spans="1:31" ht="17.100000000000001" customHeight="1" x14ac:dyDescent="0.25">
      <c r="A983" s="51"/>
      <c r="B983" s="54"/>
      <c r="C983" s="68"/>
      <c r="D983" s="69"/>
      <c r="E983" s="70"/>
      <c r="F983" s="68"/>
      <c r="G983" s="70"/>
      <c r="H983" s="59"/>
      <c r="I983" s="23"/>
      <c r="J983" s="88"/>
      <c r="K983" s="65"/>
      <c r="L983" s="18"/>
      <c r="M983" s="54"/>
      <c r="N983" s="90">
        <f>(P980-N980)+(P983-P980)+(R980-R983)</f>
        <v>0</v>
      </c>
      <c r="O983" s="91"/>
      <c r="P983" s="90"/>
      <c r="Q983" s="91"/>
      <c r="R983" s="90"/>
      <c r="S983" s="94"/>
      <c r="T983" s="32"/>
      <c r="U983" s="78"/>
      <c r="V983" s="81"/>
      <c r="W983" s="81"/>
      <c r="X983" s="81"/>
      <c r="Y983" s="84"/>
      <c r="Z983" s="34"/>
      <c r="AA983" s="28"/>
      <c r="AB983" s="28"/>
      <c r="AC983" s="97"/>
      <c r="AD983" s="100"/>
      <c r="AE983" s="102"/>
    </row>
    <row r="984" spans="1:31" ht="17.100000000000001" customHeight="1" x14ac:dyDescent="0.25">
      <c r="A984" s="51"/>
      <c r="B984" s="66"/>
      <c r="C984" s="68"/>
      <c r="D984" s="69"/>
      <c r="E984" s="70"/>
      <c r="F984" s="68"/>
      <c r="G984" s="70"/>
      <c r="H984" s="59"/>
      <c r="I984" s="24"/>
      <c r="J984" s="62"/>
      <c r="K984" s="71" t="s">
        <v>51</v>
      </c>
      <c r="L984" s="16" t="s">
        <v>51</v>
      </c>
      <c r="M984" s="66" t="s">
        <v>51</v>
      </c>
      <c r="N984" s="38"/>
      <c r="O984" s="45"/>
      <c r="P984" s="38"/>
      <c r="Q984" s="45"/>
      <c r="R984" s="38"/>
      <c r="S984" s="39"/>
      <c r="T984" s="31">
        <f t="shared" ref="T984" si="305">R983-P983</f>
        <v>0</v>
      </c>
      <c r="U984" s="78"/>
      <c r="V984" s="81"/>
      <c r="W984" s="81"/>
      <c r="X984" s="81"/>
      <c r="Y984" s="84"/>
      <c r="Z984" s="34"/>
      <c r="AA984" s="29"/>
      <c r="AB984" s="29"/>
      <c r="AC984" s="97"/>
      <c r="AD984" s="104"/>
      <c r="AE984" s="102"/>
    </row>
    <row r="985" spans="1:31" ht="17.100000000000001" customHeight="1" thickBot="1" x14ac:dyDescent="0.3">
      <c r="A985" s="52"/>
      <c r="B985" s="67"/>
      <c r="C985" s="73"/>
      <c r="D985" s="74"/>
      <c r="E985" s="75"/>
      <c r="F985" s="73"/>
      <c r="G985" s="75"/>
      <c r="H985" s="60"/>
      <c r="I985" s="25"/>
      <c r="J985" s="89"/>
      <c r="K985" s="72"/>
      <c r="L985" s="19" t="s">
        <v>52</v>
      </c>
      <c r="M985" s="67"/>
      <c r="N985" s="92"/>
      <c r="O985" s="93"/>
      <c r="P985" s="92"/>
      <c r="Q985" s="93"/>
      <c r="R985" s="92"/>
      <c r="S985" s="95"/>
      <c r="T985" s="33"/>
      <c r="U985" s="79"/>
      <c r="V985" s="82"/>
      <c r="W985" s="82"/>
      <c r="X985" s="82"/>
      <c r="Y985" s="85"/>
      <c r="Z985" s="35"/>
      <c r="AA985" s="30"/>
      <c r="AB985" s="30"/>
      <c r="AC985" s="105"/>
      <c r="AD985" s="106"/>
      <c r="AE985" s="103"/>
    </row>
    <row r="986" spans="1:31" ht="17.100000000000001" customHeight="1" x14ac:dyDescent="0.25">
      <c r="A986" s="50">
        <v>46023</v>
      </c>
      <c r="B986" s="53"/>
      <c r="C986" s="55"/>
      <c r="D986" s="56"/>
      <c r="E986" s="57"/>
      <c r="F986" s="55"/>
      <c r="G986" s="57"/>
      <c r="H986" s="58"/>
      <c r="I986" s="26"/>
      <c r="J986" s="61"/>
      <c r="K986" s="64"/>
      <c r="L986" s="11"/>
      <c r="M986" s="53"/>
      <c r="N986" s="42"/>
      <c r="O986" s="43"/>
      <c r="P986" s="36"/>
      <c r="Q986" s="43"/>
      <c r="R986" s="36"/>
      <c r="S986" s="37"/>
      <c r="T986" s="76">
        <f t="shared" ref="T986" si="306">R986-P986</f>
        <v>0</v>
      </c>
      <c r="U986" s="77"/>
      <c r="V986" s="80"/>
      <c r="W986" s="80"/>
      <c r="X986" s="80"/>
      <c r="Y986" s="83"/>
      <c r="Z986" s="86"/>
      <c r="AA986" s="48"/>
      <c r="AB986" s="48"/>
      <c r="AC986" s="96"/>
      <c r="AD986" s="99"/>
      <c r="AE986" s="101"/>
    </row>
    <row r="987" spans="1:31" ht="17.100000000000001" customHeight="1" x14ac:dyDescent="0.25">
      <c r="A987" s="51"/>
      <c r="B987" s="54"/>
      <c r="C987" s="68"/>
      <c r="D987" s="69"/>
      <c r="E987" s="70"/>
      <c r="F987" s="68"/>
      <c r="G987" s="70"/>
      <c r="H987" s="59"/>
      <c r="I987" s="24"/>
      <c r="J987" s="62"/>
      <c r="K987" s="65"/>
      <c r="L987" s="17"/>
      <c r="M987" s="54"/>
      <c r="N987" s="44"/>
      <c r="O987" s="45"/>
      <c r="P987" s="38"/>
      <c r="Q987" s="45"/>
      <c r="R987" s="38"/>
      <c r="S987" s="39"/>
      <c r="T987" s="32"/>
      <c r="U987" s="78"/>
      <c r="V987" s="81"/>
      <c r="W987" s="81"/>
      <c r="X987" s="81"/>
      <c r="Y987" s="84"/>
      <c r="Z987" s="34"/>
      <c r="AA987" s="29"/>
      <c r="AB987" s="29"/>
      <c r="AC987" s="97"/>
      <c r="AD987" s="100"/>
      <c r="AE987" s="102"/>
    </row>
    <row r="988" spans="1:31" ht="17.100000000000001" customHeight="1" x14ac:dyDescent="0.25">
      <c r="A988" s="51"/>
      <c r="B988" s="66"/>
      <c r="C988" s="68"/>
      <c r="D988" s="69"/>
      <c r="E988" s="70"/>
      <c r="F988" s="68"/>
      <c r="G988" s="70"/>
      <c r="H988" s="59"/>
      <c r="I988" s="27"/>
      <c r="J988" s="63"/>
      <c r="K988" s="71"/>
      <c r="L988" s="18"/>
      <c r="M988" s="66"/>
      <c r="N988" s="46"/>
      <c r="O988" s="47"/>
      <c r="P988" s="40"/>
      <c r="Q988" s="47"/>
      <c r="R988" s="40"/>
      <c r="S988" s="41"/>
      <c r="T988" s="31">
        <f>(P989-P986)+(R986-R989)</f>
        <v>0</v>
      </c>
      <c r="U988" s="78"/>
      <c r="V988" s="81"/>
      <c r="W988" s="81"/>
      <c r="X988" s="81"/>
      <c r="Y988" s="84"/>
      <c r="Z988" s="87"/>
      <c r="AA988" s="49"/>
      <c r="AB988" s="49"/>
      <c r="AC988" s="98"/>
      <c r="AD988" s="104"/>
      <c r="AE988" s="102"/>
    </row>
    <row r="989" spans="1:31" ht="17.100000000000001" customHeight="1" x14ac:dyDescent="0.25">
      <c r="A989" s="51"/>
      <c r="B989" s="54"/>
      <c r="C989" s="68"/>
      <c r="D989" s="69"/>
      <c r="E989" s="70"/>
      <c r="F989" s="68"/>
      <c r="G989" s="70"/>
      <c r="H989" s="59"/>
      <c r="I989" s="23"/>
      <c r="J989" s="88"/>
      <c r="K989" s="65"/>
      <c r="L989" s="18"/>
      <c r="M989" s="54"/>
      <c r="N989" s="90">
        <f>(P986-N986)+(P989-P986)+(R986-R989)</f>
        <v>0</v>
      </c>
      <c r="O989" s="91"/>
      <c r="P989" s="90"/>
      <c r="Q989" s="91"/>
      <c r="R989" s="90"/>
      <c r="S989" s="94"/>
      <c r="T989" s="32"/>
      <c r="U989" s="78"/>
      <c r="V989" s="81"/>
      <c r="W989" s="81"/>
      <c r="X989" s="81"/>
      <c r="Y989" s="84"/>
      <c r="Z989" s="34"/>
      <c r="AA989" s="28"/>
      <c r="AB989" s="28"/>
      <c r="AC989" s="97"/>
      <c r="AD989" s="100"/>
      <c r="AE989" s="102"/>
    </row>
    <row r="990" spans="1:31" ht="17.100000000000001" customHeight="1" x14ac:dyDescent="0.25">
      <c r="A990" s="51"/>
      <c r="B990" s="66"/>
      <c r="C990" s="68"/>
      <c r="D990" s="69"/>
      <c r="E990" s="70"/>
      <c r="F990" s="68"/>
      <c r="G990" s="70"/>
      <c r="H990" s="59"/>
      <c r="I990" s="24"/>
      <c r="J990" s="62"/>
      <c r="K990" s="71" t="s">
        <v>51</v>
      </c>
      <c r="L990" s="16" t="s">
        <v>51</v>
      </c>
      <c r="M990" s="66" t="s">
        <v>51</v>
      </c>
      <c r="N990" s="38"/>
      <c r="O990" s="45"/>
      <c r="P990" s="38"/>
      <c r="Q990" s="45"/>
      <c r="R990" s="38"/>
      <c r="S990" s="39"/>
      <c r="T990" s="31">
        <f t="shared" ref="T990" si="307">R989-P989</f>
        <v>0</v>
      </c>
      <c r="U990" s="78"/>
      <c r="V990" s="81"/>
      <c r="W990" s="81"/>
      <c r="X990" s="81"/>
      <c r="Y990" s="84"/>
      <c r="Z990" s="34"/>
      <c r="AA990" s="29"/>
      <c r="AB990" s="29"/>
      <c r="AC990" s="97"/>
      <c r="AD990" s="104"/>
      <c r="AE990" s="102"/>
    </row>
    <row r="991" spans="1:31" ht="17.100000000000001" customHeight="1" thickBot="1" x14ac:dyDescent="0.3">
      <c r="A991" s="52"/>
      <c r="B991" s="67"/>
      <c r="C991" s="73"/>
      <c r="D991" s="74"/>
      <c r="E991" s="75"/>
      <c r="F991" s="73"/>
      <c r="G991" s="75"/>
      <c r="H991" s="60"/>
      <c r="I991" s="25"/>
      <c r="J991" s="89"/>
      <c r="K991" s="72"/>
      <c r="L991" s="19" t="s">
        <v>52</v>
      </c>
      <c r="M991" s="67"/>
      <c r="N991" s="92"/>
      <c r="O991" s="93"/>
      <c r="P991" s="92"/>
      <c r="Q991" s="93"/>
      <c r="R991" s="92"/>
      <c r="S991" s="95"/>
      <c r="T991" s="33"/>
      <c r="U991" s="79"/>
      <c r="V991" s="82"/>
      <c r="W991" s="82"/>
      <c r="X991" s="82"/>
      <c r="Y991" s="85"/>
      <c r="Z991" s="35"/>
      <c r="AA991" s="30"/>
      <c r="AB991" s="30"/>
      <c r="AC991" s="105"/>
      <c r="AD991" s="106"/>
      <c r="AE991" s="103"/>
    </row>
    <row r="993" spans="1:31" ht="17.100000000000001" customHeight="1" thickBot="1" x14ac:dyDescent="0.3"/>
    <row r="994" spans="1:31" ht="17.100000000000001" customHeight="1" x14ac:dyDescent="0.25">
      <c r="A994" s="50">
        <v>46023</v>
      </c>
      <c r="B994" s="53"/>
      <c r="C994" s="55"/>
      <c r="D994" s="56"/>
      <c r="E994" s="57"/>
      <c r="F994" s="55"/>
      <c r="G994" s="57"/>
      <c r="H994" s="58"/>
      <c r="I994" s="26"/>
      <c r="J994" s="61"/>
      <c r="K994" s="64"/>
      <c r="L994" s="11"/>
      <c r="M994" s="53"/>
      <c r="N994" s="42"/>
      <c r="O994" s="43"/>
      <c r="P994" s="36"/>
      <c r="Q994" s="43"/>
      <c r="R994" s="36"/>
      <c r="S994" s="37"/>
      <c r="T994" s="76">
        <f t="shared" ref="T994" si="308">R994-P994</f>
        <v>0</v>
      </c>
      <c r="U994" s="77"/>
      <c r="V994" s="80"/>
      <c r="W994" s="80"/>
      <c r="X994" s="80"/>
      <c r="Y994" s="83"/>
      <c r="Z994" s="86"/>
      <c r="AA994" s="48"/>
      <c r="AB994" s="48"/>
      <c r="AC994" s="96"/>
      <c r="AD994" s="99"/>
      <c r="AE994" s="101"/>
    </row>
    <row r="995" spans="1:31" ht="17.100000000000001" customHeight="1" x14ac:dyDescent="0.25">
      <c r="A995" s="51"/>
      <c r="B995" s="54"/>
      <c r="C995" s="68"/>
      <c r="D995" s="69"/>
      <c r="E995" s="70"/>
      <c r="F995" s="68"/>
      <c r="G995" s="70"/>
      <c r="H995" s="59"/>
      <c r="I995" s="24"/>
      <c r="J995" s="62"/>
      <c r="K995" s="65"/>
      <c r="L995" s="17"/>
      <c r="M995" s="54"/>
      <c r="N995" s="44"/>
      <c r="O995" s="45"/>
      <c r="P995" s="38"/>
      <c r="Q995" s="45"/>
      <c r="R995" s="38"/>
      <c r="S995" s="39"/>
      <c r="T995" s="32"/>
      <c r="U995" s="78"/>
      <c r="V995" s="81"/>
      <c r="W995" s="81"/>
      <c r="X995" s="81"/>
      <c r="Y995" s="84"/>
      <c r="Z995" s="34"/>
      <c r="AA995" s="29"/>
      <c r="AB995" s="29"/>
      <c r="AC995" s="97"/>
      <c r="AD995" s="100"/>
      <c r="AE995" s="102"/>
    </row>
    <row r="996" spans="1:31" ht="17.100000000000001" customHeight="1" x14ac:dyDescent="0.25">
      <c r="A996" s="51"/>
      <c r="B996" s="66"/>
      <c r="C996" s="68"/>
      <c r="D996" s="69"/>
      <c r="E996" s="70"/>
      <c r="F996" s="68"/>
      <c r="G996" s="70"/>
      <c r="H996" s="59"/>
      <c r="I996" s="27"/>
      <c r="J996" s="63"/>
      <c r="K996" s="71"/>
      <c r="L996" s="18"/>
      <c r="M996" s="66"/>
      <c r="N996" s="46"/>
      <c r="O996" s="47"/>
      <c r="P996" s="40"/>
      <c r="Q996" s="47"/>
      <c r="R996" s="40"/>
      <c r="S996" s="41"/>
      <c r="T996" s="31">
        <f>(P997-P994)+(R994-R997)</f>
        <v>0</v>
      </c>
      <c r="U996" s="78"/>
      <c r="V996" s="81"/>
      <c r="W996" s="81"/>
      <c r="X996" s="81"/>
      <c r="Y996" s="84"/>
      <c r="Z996" s="87"/>
      <c r="AA996" s="49"/>
      <c r="AB996" s="49"/>
      <c r="AC996" s="98"/>
      <c r="AD996" s="104"/>
      <c r="AE996" s="102"/>
    </row>
    <row r="997" spans="1:31" ht="17.100000000000001" customHeight="1" x14ac:dyDescent="0.25">
      <c r="A997" s="51"/>
      <c r="B997" s="54"/>
      <c r="C997" s="68"/>
      <c r="D997" s="69"/>
      <c r="E997" s="70"/>
      <c r="F997" s="68"/>
      <c r="G997" s="70"/>
      <c r="H997" s="59"/>
      <c r="I997" s="23"/>
      <c r="J997" s="88"/>
      <c r="K997" s="65"/>
      <c r="L997" s="18"/>
      <c r="M997" s="54"/>
      <c r="N997" s="90">
        <f>(P994-N994)+(P997-P994)+(R994-R997)</f>
        <v>0</v>
      </c>
      <c r="O997" s="91"/>
      <c r="P997" s="90"/>
      <c r="Q997" s="91"/>
      <c r="R997" s="90"/>
      <c r="S997" s="94"/>
      <c r="T997" s="32"/>
      <c r="U997" s="78"/>
      <c r="V997" s="81"/>
      <c r="W997" s="81"/>
      <c r="X997" s="81"/>
      <c r="Y997" s="84"/>
      <c r="Z997" s="34"/>
      <c r="AA997" s="28"/>
      <c r="AB997" s="28"/>
      <c r="AC997" s="97"/>
      <c r="AD997" s="100"/>
      <c r="AE997" s="102"/>
    </row>
    <row r="998" spans="1:31" ht="17.100000000000001" customHeight="1" x14ac:dyDescent="0.25">
      <c r="A998" s="51"/>
      <c r="B998" s="66"/>
      <c r="C998" s="68"/>
      <c r="D998" s="69"/>
      <c r="E998" s="70"/>
      <c r="F998" s="68"/>
      <c r="G998" s="70"/>
      <c r="H998" s="59"/>
      <c r="I998" s="24"/>
      <c r="J998" s="62"/>
      <c r="K998" s="71" t="s">
        <v>51</v>
      </c>
      <c r="L998" s="16" t="s">
        <v>51</v>
      </c>
      <c r="M998" s="66" t="s">
        <v>51</v>
      </c>
      <c r="N998" s="38"/>
      <c r="O998" s="45"/>
      <c r="P998" s="38"/>
      <c r="Q998" s="45"/>
      <c r="R998" s="38"/>
      <c r="S998" s="39"/>
      <c r="T998" s="31">
        <f t="shared" ref="T998" si="309">R997-P997</f>
        <v>0</v>
      </c>
      <c r="U998" s="78"/>
      <c r="V998" s="81"/>
      <c r="W998" s="81"/>
      <c r="X998" s="81"/>
      <c r="Y998" s="84"/>
      <c r="Z998" s="34"/>
      <c r="AA998" s="29"/>
      <c r="AB998" s="29"/>
      <c r="AC998" s="97"/>
      <c r="AD998" s="104"/>
      <c r="AE998" s="102"/>
    </row>
    <row r="999" spans="1:31" ht="17.100000000000001" customHeight="1" thickBot="1" x14ac:dyDescent="0.3">
      <c r="A999" s="52"/>
      <c r="B999" s="67"/>
      <c r="C999" s="73"/>
      <c r="D999" s="74"/>
      <c r="E999" s="75"/>
      <c r="F999" s="73"/>
      <c r="G999" s="75"/>
      <c r="H999" s="60"/>
      <c r="I999" s="25"/>
      <c r="J999" s="89"/>
      <c r="K999" s="72"/>
      <c r="L999" s="19" t="s">
        <v>52</v>
      </c>
      <c r="M999" s="67"/>
      <c r="N999" s="92"/>
      <c r="O999" s="93"/>
      <c r="P999" s="92"/>
      <c r="Q999" s="93"/>
      <c r="R999" s="92"/>
      <c r="S999" s="95"/>
      <c r="T999" s="33"/>
      <c r="U999" s="79"/>
      <c r="V999" s="82"/>
      <c r="W999" s="82"/>
      <c r="X999" s="82"/>
      <c r="Y999" s="85"/>
      <c r="Z999" s="35"/>
      <c r="AA999" s="30"/>
      <c r="AB999" s="30"/>
      <c r="AC999" s="105"/>
      <c r="AD999" s="106"/>
      <c r="AE999" s="103"/>
    </row>
    <row r="1000" spans="1:31" ht="17.100000000000001" customHeight="1" x14ac:dyDescent="0.25">
      <c r="A1000" s="50">
        <v>46023</v>
      </c>
      <c r="B1000" s="53"/>
      <c r="C1000" s="55"/>
      <c r="D1000" s="56"/>
      <c r="E1000" s="57"/>
      <c r="F1000" s="55"/>
      <c r="G1000" s="57"/>
      <c r="H1000" s="58"/>
      <c r="I1000" s="26"/>
      <c r="J1000" s="61"/>
      <c r="K1000" s="64"/>
      <c r="L1000" s="11"/>
      <c r="M1000" s="53"/>
      <c r="N1000" s="42"/>
      <c r="O1000" s="43"/>
      <c r="P1000" s="36"/>
      <c r="Q1000" s="43"/>
      <c r="R1000" s="36"/>
      <c r="S1000" s="37"/>
      <c r="T1000" s="76">
        <f t="shared" ref="T1000" si="310">R1000-P1000</f>
        <v>0</v>
      </c>
      <c r="U1000" s="77"/>
      <c r="V1000" s="80"/>
      <c r="W1000" s="80"/>
      <c r="X1000" s="80"/>
      <c r="Y1000" s="83"/>
      <c r="Z1000" s="86"/>
      <c r="AA1000" s="48"/>
      <c r="AB1000" s="48"/>
      <c r="AC1000" s="96"/>
      <c r="AD1000" s="99"/>
      <c r="AE1000" s="101"/>
    </row>
    <row r="1001" spans="1:31" ht="17.100000000000001" customHeight="1" x14ac:dyDescent="0.25">
      <c r="A1001" s="51"/>
      <c r="B1001" s="54"/>
      <c r="C1001" s="68"/>
      <c r="D1001" s="69"/>
      <c r="E1001" s="70"/>
      <c r="F1001" s="68"/>
      <c r="G1001" s="70"/>
      <c r="H1001" s="59"/>
      <c r="I1001" s="24"/>
      <c r="J1001" s="62"/>
      <c r="K1001" s="65"/>
      <c r="L1001" s="17"/>
      <c r="M1001" s="54"/>
      <c r="N1001" s="44"/>
      <c r="O1001" s="45"/>
      <c r="P1001" s="38"/>
      <c r="Q1001" s="45"/>
      <c r="R1001" s="38"/>
      <c r="S1001" s="39"/>
      <c r="T1001" s="32"/>
      <c r="U1001" s="78"/>
      <c r="V1001" s="81"/>
      <c r="W1001" s="81"/>
      <c r="X1001" s="81"/>
      <c r="Y1001" s="84"/>
      <c r="Z1001" s="34"/>
      <c r="AA1001" s="29"/>
      <c r="AB1001" s="29"/>
      <c r="AC1001" s="97"/>
      <c r="AD1001" s="100"/>
      <c r="AE1001" s="102"/>
    </row>
    <row r="1002" spans="1:31" ht="17.100000000000001" customHeight="1" x14ac:dyDescent="0.25">
      <c r="A1002" s="51"/>
      <c r="B1002" s="66"/>
      <c r="C1002" s="68"/>
      <c r="D1002" s="69"/>
      <c r="E1002" s="70"/>
      <c r="F1002" s="68"/>
      <c r="G1002" s="70"/>
      <c r="H1002" s="59"/>
      <c r="I1002" s="27"/>
      <c r="J1002" s="63"/>
      <c r="K1002" s="71"/>
      <c r="L1002" s="18"/>
      <c r="M1002" s="66"/>
      <c r="N1002" s="46"/>
      <c r="O1002" s="47"/>
      <c r="P1002" s="40"/>
      <c r="Q1002" s="47"/>
      <c r="R1002" s="40"/>
      <c r="S1002" s="41"/>
      <c r="T1002" s="31">
        <f>(P1003-P1000)+(R1000-R1003)</f>
        <v>0</v>
      </c>
      <c r="U1002" s="78"/>
      <c r="V1002" s="81"/>
      <c r="W1002" s="81"/>
      <c r="X1002" s="81"/>
      <c r="Y1002" s="84"/>
      <c r="Z1002" s="87"/>
      <c r="AA1002" s="49"/>
      <c r="AB1002" s="49"/>
      <c r="AC1002" s="98"/>
      <c r="AD1002" s="104"/>
      <c r="AE1002" s="102"/>
    </row>
    <row r="1003" spans="1:31" ht="17.100000000000001" customHeight="1" x14ac:dyDescent="0.25">
      <c r="A1003" s="51"/>
      <c r="B1003" s="54"/>
      <c r="C1003" s="68"/>
      <c r="D1003" s="69"/>
      <c r="E1003" s="70"/>
      <c r="F1003" s="68"/>
      <c r="G1003" s="70"/>
      <c r="H1003" s="59"/>
      <c r="I1003" s="23"/>
      <c r="J1003" s="88"/>
      <c r="K1003" s="65"/>
      <c r="L1003" s="18"/>
      <c r="M1003" s="54"/>
      <c r="N1003" s="90">
        <f>(P1000-N1000)+(P1003-P1000)+(R1000-R1003)</f>
        <v>0</v>
      </c>
      <c r="O1003" s="91"/>
      <c r="P1003" s="90"/>
      <c r="Q1003" s="91"/>
      <c r="R1003" s="90"/>
      <c r="S1003" s="94"/>
      <c r="T1003" s="32"/>
      <c r="U1003" s="78"/>
      <c r="V1003" s="81"/>
      <c r="W1003" s="81"/>
      <c r="X1003" s="81"/>
      <c r="Y1003" s="84"/>
      <c r="Z1003" s="34"/>
      <c r="AA1003" s="28"/>
      <c r="AB1003" s="28"/>
      <c r="AC1003" s="97"/>
      <c r="AD1003" s="100"/>
      <c r="AE1003" s="102"/>
    </row>
    <row r="1004" spans="1:31" ht="17.100000000000001" customHeight="1" x14ac:dyDescent="0.25">
      <c r="A1004" s="51"/>
      <c r="B1004" s="66"/>
      <c r="C1004" s="68"/>
      <c r="D1004" s="69"/>
      <c r="E1004" s="70"/>
      <c r="F1004" s="68"/>
      <c r="G1004" s="70"/>
      <c r="H1004" s="59"/>
      <c r="I1004" s="24"/>
      <c r="J1004" s="62"/>
      <c r="K1004" s="71" t="s">
        <v>51</v>
      </c>
      <c r="L1004" s="16" t="s">
        <v>51</v>
      </c>
      <c r="M1004" s="66" t="s">
        <v>51</v>
      </c>
      <c r="N1004" s="38"/>
      <c r="O1004" s="45"/>
      <c r="P1004" s="38"/>
      <c r="Q1004" s="45"/>
      <c r="R1004" s="38"/>
      <c r="S1004" s="39"/>
      <c r="T1004" s="31">
        <f t="shared" ref="T1004" si="311">R1003-P1003</f>
        <v>0</v>
      </c>
      <c r="U1004" s="78"/>
      <c r="V1004" s="81"/>
      <c r="W1004" s="81"/>
      <c r="X1004" s="81"/>
      <c r="Y1004" s="84"/>
      <c r="Z1004" s="34"/>
      <c r="AA1004" s="29"/>
      <c r="AB1004" s="29"/>
      <c r="AC1004" s="97"/>
      <c r="AD1004" s="104"/>
      <c r="AE1004" s="102"/>
    </row>
    <row r="1005" spans="1:31" ht="17.100000000000001" customHeight="1" thickBot="1" x14ac:dyDescent="0.3">
      <c r="A1005" s="52"/>
      <c r="B1005" s="67"/>
      <c r="C1005" s="73"/>
      <c r="D1005" s="74"/>
      <c r="E1005" s="75"/>
      <c r="F1005" s="73"/>
      <c r="G1005" s="75"/>
      <c r="H1005" s="60"/>
      <c r="I1005" s="25"/>
      <c r="J1005" s="89"/>
      <c r="K1005" s="72"/>
      <c r="L1005" s="19" t="s">
        <v>52</v>
      </c>
      <c r="M1005" s="67"/>
      <c r="N1005" s="92"/>
      <c r="O1005" s="93"/>
      <c r="P1005" s="92"/>
      <c r="Q1005" s="93"/>
      <c r="R1005" s="92"/>
      <c r="S1005" s="95"/>
      <c r="T1005" s="33"/>
      <c r="U1005" s="79"/>
      <c r="V1005" s="82"/>
      <c r="W1005" s="82"/>
      <c r="X1005" s="82"/>
      <c r="Y1005" s="85"/>
      <c r="Z1005" s="35"/>
      <c r="AA1005" s="30"/>
      <c r="AB1005" s="30"/>
      <c r="AC1005" s="105"/>
      <c r="AD1005" s="106"/>
      <c r="AE1005" s="103"/>
    </row>
    <row r="1006" spans="1:31" ht="17.100000000000001" customHeight="1" x14ac:dyDescent="0.25">
      <c r="A1006" s="50">
        <v>46023</v>
      </c>
      <c r="B1006" s="53"/>
      <c r="C1006" s="55"/>
      <c r="D1006" s="56"/>
      <c r="E1006" s="57"/>
      <c r="F1006" s="55"/>
      <c r="G1006" s="57"/>
      <c r="H1006" s="58"/>
      <c r="I1006" s="26"/>
      <c r="J1006" s="61"/>
      <c r="K1006" s="64"/>
      <c r="L1006" s="11"/>
      <c r="M1006" s="53"/>
      <c r="N1006" s="42"/>
      <c r="O1006" s="43"/>
      <c r="P1006" s="36"/>
      <c r="Q1006" s="43"/>
      <c r="R1006" s="36"/>
      <c r="S1006" s="37"/>
      <c r="T1006" s="76">
        <f t="shared" ref="T1006" si="312">R1006-P1006</f>
        <v>0</v>
      </c>
      <c r="U1006" s="77"/>
      <c r="V1006" s="80"/>
      <c r="W1006" s="80"/>
      <c r="X1006" s="80"/>
      <c r="Y1006" s="83"/>
      <c r="Z1006" s="86"/>
      <c r="AA1006" s="48"/>
      <c r="AB1006" s="48"/>
      <c r="AC1006" s="96"/>
      <c r="AD1006" s="99"/>
      <c r="AE1006" s="101"/>
    </row>
    <row r="1007" spans="1:31" ht="17.100000000000001" customHeight="1" x14ac:dyDescent="0.25">
      <c r="A1007" s="51"/>
      <c r="B1007" s="54"/>
      <c r="C1007" s="68"/>
      <c r="D1007" s="69"/>
      <c r="E1007" s="70"/>
      <c r="F1007" s="68"/>
      <c r="G1007" s="70"/>
      <c r="H1007" s="59"/>
      <c r="I1007" s="24"/>
      <c r="J1007" s="62"/>
      <c r="K1007" s="65"/>
      <c r="L1007" s="17"/>
      <c r="M1007" s="54"/>
      <c r="N1007" s="44"/>
      <c r="O1007" s="45"/>
      <c r="P1007" s="38"/>
      <c r="Q1007" s="45"/>
      <c r="R1007" s="38"/>
      <c r="S1007" s="39"/>
      <c r="T1007" s="32"/>
      <c r="U1007" s="78"/>
      <c r="V1007" s="81"/>
      <c r="W1007" s="81"/>
      <c r="X1007" s="81"/>
      <c r="Y1007" s="84"/>
      <c r="Z1007" s="34"/>
      <c r="AA1007" s="29"/>
      <c r="AB1007" s="29"/>
      <c r="AC1007" s="97"/>
      <c r="AD1007" s="100"/>
      <c r="AE1007" s="102"/>
    </row>
    <row r="1008" spans="1:31" ht="17.100000000000001" customHeight="1" x14ac:dyDescent="0.25">
      <c r="A1008" s="51"/>
      <c r="B1008" s="66"/>
      <c r="C1008" s="68"/>
      <c r="D1008" s="69"/>
      <c r="E1008" s="70"/>
      <c r="F1008" s="68"/>
      <c r="G1008" s="70"/>
      <c r="H1008" s="59"/>
      <c r="I1008" s="27"/>
      <c r="J1008" s="63"/>
      <c r="K1008" s="71"/>
      <c r="L1008" s="18"/>
      <c r="M1008" s="66"/>
      <c r="N1008" s="46"/>
      <c r="O1008" s="47"/>
      <c r="P1008" s="40"/>
      <c r="Q1008" s="47"/>
      <c r="R1008" s="40"/>
      <c r="S1008" s="41"/>
      <c r="T1008" s="31">
        <f>(P1009-P1006)+(R1006-R1009)</f>
        <v>0</v>
      </c>
      <c r="U1008" s="78"/>
      <c r="V1008" s="81"/>
      <c r="W1008" s="81"/>
      <c r="X1008" s="81"/>
      <c r="Y1008" s="84"/>
      <c r="Z1008" s="87"/>
      <c r="AA1008" s="49"/>
      <c r="AB1008" s="49"/>
      <c r="AC1008" s="98"/>
      <c r="AD1008" s="104"/>
      <c r="AE1008" s="102"/>
    </row>
    <row r="1009" spans="1:31" ht="17.100000000000001" customHeight="1" x14ac:dyDescent="0.25">
      <c r="A1009" s="51"/>
      <c r="B1009" s="54"/>
      <c r="C1009" s="68"/>
      <c r="D1009" s="69"/>
      <c r="E1009" s="70"/>
      <c r="F1009" s="68"/>
      <c r="G1009" s="70"/>
      <c r="H1009" s="59"/>
      <c r="I1009" s="23"/>
      <c r="J1009" s="88"/>
      <c r="K1009" s="65"/>
      <c r="L1009" s="18"/>
      <c r="M1009" s="54"/>
      <c r="N1009" s="90">
        <f>(P1006-N1006)+(P1009-P1006)+(R1006-R1009)</f>
        <v>0</v>
      </c>
      <c r="O1009" s="91"/>
      <c r="P1009" s="90"/>
      <c r="Q1009" s="91"/>
      <c r="R1009" s="90"/>
      <c r="S1009" s="94"/>
      <c r="T1009" s="32"/>
      <c r="U1009" s="78"/>
      <c r="V1009" s="81"/>
      <c r="W1009" s="81"/>
      <c r="X1009" s="81"/>
      <c r="Y1009" s="84"/>
      <c r="Z1009" s="34"/>
      <c r="AA1009" s="28"/>
      <c r="AB1009" s="28"/>
      <c r="AC1009" s="97"/>
      <c r="AD1009" s="100"/>
      <c r="AE1009" s="102"/>
    </row>
    <row r="1010" spans="1:31" ht="17.100000000000001" customHeight="1" x14ac:dyDescent="0.25">
      <c r="A1010" s="51"/>
      <c r="B1010" s="66"/>
      <c r="C1010" s="68"/>
      <c r="D1010" s="69"/>
      <c r="E1010" s="70"/>
      <c r="F1010" s="68"/>
      <c r="G1010" s="70"/>
      <c r="H1010" s="59"/>
      <c r="I1010" s="24"/>
      <c r="J1010" s="62"/>
      <c r="K1010" s="71" t="s">
        <v>51</v>
      </c>
      <c r="L1010" s="16" t="s">
        <v>51</v>
      </c>
      <c r="M1010" s="66" t="s">
        <v>51</v>
      </c>
      <c r="N1010" s="38"/>
      <c r="O1010" s="45"/>
      <c r="P1010" s="38"/>
      <c r="Q1010" s="45"/>
      <c r="R1010" s="38"/>
      <c r="S1010" s="39"/>
      <c r="T1010" s="31">
        <f t="shared" ref="T1010" si="313">R1009-P1009</f>
        <v>0</v>
      </c>
      <c r="U1010" s="78"/>
      <c r="V1010" s="81"/>
      <c r="W1010" s="81"/>
      <c r="X1010" s="81"/>
      <c r="Y1010" s="84"/>
      <c r="Z1010" s="34"/>
      <c r="AA1010" s="29"/>
      <c r="AB1010" s="29"/>
      <c r="AC1010" s="97"/>
      <c r="AD1010" s="104"/>
      <c r="AE1010" s="102"/>
    </row>
    <row r="1011" spans="1:31" ht="17.100000000000001" customHeight="1" thickBot="1" x14ac:dyDescent="0.3">
      <c r="A1011" s="52"/>
      <c r="B1011" s="67"/>
      <c r="C1011" s="73"/>
      <c r="D1011" s="74"/>
      <c r="E1011" s="75"/>
      <c r="F1011" s="73"/>
      <c r="G1011" s="75"/>
      <c r="H1011" s="60"/>
      <c r="I1011" s="25"/>
      <c r="J1011" s="89"/>
      <c r="K1011" s="72"/>
      <c r="L1011" s="19" t="s">
        <v>52</v>
      </c>
      <c r="M1011" s="67"/>
      <c r="N1011" s="92"/>
      <c r="O1011" s="93"/>
      <c r="P1011" s="92"/>
      <c r="Q1011" s="93"/>
      <c r="R1011" s="92"/>
      <c r="S1011" s="95"/>
      <c r="T1011" s="33"/>
      <c r="U1011" s="79"/>
      <c r="V1011" s="82"/>
      <c r="W1011" s="82"/>
      <c r="X1011" s="82"/>
      <c r="Y1011" s="85"/>
      <c r="Z1011" s="35"/>
      <c r="AA1011" s="30"/>
      <c r="AB1011" s="30"/>
      <c r="AC1011" s="105"/>
      <c r="AD1011" s="106"/>
      <c r="AE1011" s="103"/>
    </row>
    <row r="1012" spans="1:31" ht="17.100000000000001" customHeight="1" x14ac:dyDescent="0.25">
      <c r="A1012" s="50">
        <v>46023</v>
      </c>
      <c r="B1012" s="53"/>
      <c r="C1012" s="55"/>
      <c r="D1012" s="56"/>
      <c r="E1012" s="57"/>
      <c r="F1012" s="55"/>
      <c r="G1012" s="57"/>
      <c r="H1012" s="58"/>
      <c r="I1012" s="26"/>
      <c r="J1012" s="61"/>
      <c r="K1012" s="64"/>
      <c r="L1012" s="11"/>
      <c r="M1012" s="53"/>
      <c r="N1012" s="42"/>
      <c r="O1012" s="43"/>
      <c r="P1012" s="36"/>
      <c r="Q1012" s="43"/>
      <c r="R1012" s="36"/>
      <c r="S1012" s="37"/>
      <c r="T1012" s="76">
        <f t="shared" ref="T1012" si="314">R1012-P1012</f>
        <v>0</v>
      </c>
      <c r="U1012" s="77"/>
      <c r="V1012" s="80"/>
      <c r="W1012" s="80"/>
      <c r="X1012" s="80"/>
      <c r="Y1012" s="83"/>
      <c r="Z1012" s="86"/>
      <c r="AA1012" s="48"/>
      <c r="AB1012" s="48"/>
      <c r="AC1012" s="96"/>
      <c r="AD1012" s="99"/>
      <c r="AE1012" s="101"/>
    </row>
    <row r="1013" spans="1:31" ht="17.100000000000001" customHeight="1" x14ac:dyDescent="0.25">
      <c r="A1013" s="51"/>
      <c r="B1013" s="54"/>
      <c r="C1013" s="68"/>
      <c r="D1013" s="69"/>
      <c r="E1013" s="70"/>
      <c r="F1013" s="68"/>
      <c r="G1013" s="70"/>
      <c r="H1013" s="59"/>
      <c r="I1013" s="24"/>
      <c r="J1013" s="62"/>
      <c r="K1013" s="65"/>
      <c r="L1013" s="17"/>
      <c r="M1013" s="54"/>
      <c r="N1013" s="44"/>
      <c r="O1013" s="45"/>
      <c r="P1013" s="38"/>
      <c r="Q1013" s="45"/>
      <c r="R1013" s="38"/>
      <c r="S1013" s="39"/>
      <c r="T1013" s="32"/>
      <c r="U1013" s="78"/>
      <c r="V1013" s="81"/>
      <c r="W1013" s="81"/>
      <c r="X1013" s="81"/>
      <c r="Y1013" s="84"/>
      <c r="Z1013" s="34"/>
      <c r="AA1013" s="29"/>
      <c r="AB1013" s="29"/>
      <c r="AC1013" s="97"/>
      <c r="AD1013" s="100"/>
      <c r="AE1013" s="102"/>
    </row>
    <row r="1014" spans="1:31" ht="17.100000000000001" customHeight="1" x14ac:dyDescent="0.25">
      <c r="A1014" s="51"/>
      <c r="B1014" s="66"/>
      <c r="C1014" s="68"/>
      <c r="D1014" s="69"/>
      <c r="E1014" s="70"/>
      <c r="F1014" s="68"/>
      <c r="G1014" s="70"/>
      <c r="H1014" s="59"/>
      <c r="I1014" s="27"/>
      <c r="J1014" s="63"/>
      <c r="K1014" s="71"/>
      <c r="L1014" s="18"/>
      <c r="M1014" s="66"/>
      <c r="N1014" s="46"/>
      <c r="O1014" s="47"/>
      <c r="P1014" s="40"/>
      <c r="Q1014" s="47"/>
      <c r="R1014" s="40"/>
      <c r="S1014" s="41"/>
      <c r="T1014" s="31">
        <f>(P1015-P1012)+(R1012-R1015)</f>
        <v>0</v>
      </c>
      <c r="U1014" s="78"/>
      <c r="V1014" s="81"/>
      <c r="W1014" s="81"/>
      <c r="X1014" s="81"/>
      <c r="Y1014" s="84"/>
      <c r="Z1014" s="87"/>
      <c r="AA1014" s="49"/>
      <c r="AB1014" s="49"/>
      <c r="AC1014" s="98"/>
      <c r="AD1014" s="104"/>
      <c r="AE1014" s="102"/>
    </row>
    <row r="1015" spans="1:31" ht="17.100000000000001" customHeight="1" x14ac:dyDescent="0.25">
      <c r="A1015" s="51"/>
      <c r="B1015" s="54"/>
      <c r="C1015" s="68"/>
      <c r="D1015" s="69"/>
      <c r="E1015" s="70"/>
      <c r="F1015" s="68"/>
      <c r="G1015" s="70"/>
      <c r="H1015" s="59"/>
      <c r="I1015" s="23"/>
      <c r="J1015" s="88"/>
      <c r="K1015" s="65"/>
      <c r="L1015" s="18"/>
      <c r="M1015" s="54"/>
      <c r="N1015" s="90">
        <f>(P1012-N1012)+(P1015-P1012)+(R1012-R1015)</f>
        <v>0</v>
      </c>
      <c r="O1015" s="91"/>
      <c r="P1015" s="90"/>
      <c r="Q1015" s="91"/>
      <c r="R1015" s="90"/>
      <c r="S1015" s="94"/>
      <c r="T1015" s="32"/>
      <c r="U1015" s="78"/>
      <c r="V1015" s="81"/>
      <c r="W1015" s="81"/>
      <c r="X1015" s="81"/>
      <c r="Y1015" s="84"/>
      <c r="Z1015" s="34"/>
      <c r="AA1015" s="28"/>
      <c r="AB1015" s="28"/>
      <c r="AC1015" s="97"/>
      <c r="AD1015" s="100"/>
      <c r="AE1015" s="102"/>
    </row>
    <row r="1016" spans="1:31" ht="17.100000000000001" customHeight="1" x14ac:dyDescent="0.25">
      <c r="A1016" s="51"/>
      <c r="B1016" s="66"/>
      <c r="C1016" s="68"/>
      <c r="D1016" s="69"/>
      <c r="E1016" s="70"/>
      <c r="F1016" s="68"/>
      <c r="G1016" s="70"/>
      <c r="H1016" s="59"/>
      <c r="I1016" s="24"/>
      <c r="J1016" s="62"/>
      <c r="K1016" s="71" t="s">
        <v>51</v>
      </c>
      <c r="L1016" s="16" t="s">
        <v>51</v>
      </c>
      <c r="M1016" s="66" t="s">
        <v>51</v>
      </c>
      <c r="N1016" s="38"/>
      <c r="O1016" s="45"/>
      <c r="P1016" s="38"/>
      <c r="Q1016" s="45"/>
      <c r="R1016" s="38"/>
      <c r="S1016" s="39"/>
      <c r="T1016" s="31">
        <f t="shared" ref="T1016" si="315">R1015-P1015</f>
        <v>0</v>
      </c>
      <c r="U1016" s="78"/>
      <c r="V1016" s="81"/>
      <c r="W1016" s="81"/>
      <c r="X1016" s="81"/>
      <c r="Y1016" s="84"/>
      <c r="Z1016" s="34"/>
      <c r="AA1016" s="29"/>
      <c r="AB1016" s="29"/>
      <c r="AC1016" s="97"/>
      <c r="AD1016" s="104"/>
      <c r="AE1016" s="102"/>
    </row>
    <row r="1017" spans="1:31" ht="17.100000000000001" customHeight="1" thickBot="1" x14ac:dyDescent="0.3">
      <c r="A1017" s="52"/>
      <c r="B1017" s="67"/>
      <c r="C1017" s="73"/>
      <c r="D1017" s="74"/>
      <c r="E1017" s="75"/>
      <c r="F1017" s="73"/>
      <c r="G1017" s="75"/>
      <c r="H1017" s="60"/>
      <c r="I1017" s="25"/>
      <c r="J1017" s="89"/>
      <c r="K1017" s="72"/>
      <c r="L1017" s="19" t="s">
        <v>52</v>
      </c>
      <c r="M1017" s="67"/>
      <c r="N1017" s="92"/>
      <c r="O1017" s="93"/>
      <c r="P1017" s="92"/>
      <c r="Q1017" s="93"/>
      <c r="R1017" s="92"/>
      <c r="S1017" s="95"/>
      <c r="T1017" s="33"/>
      <c r="U1017" s="79"/>
      <c r="V1017" s="82"/>
      <c r="W1017" s="82"/>
      <c r="X1017" s="82"/>
      <c r="Y1017" s="85"/>
      <c r="Z1017" s="35"/>
      <c r="AA1017" s="30"/>
      <c r="AB1017" s="30"/>
      <c r="AC1017" s="105"/>
      <c r="AD1017" s="106"/>
      <c r="AE1017" s="103"/>
    </row>
    <row r="1018" spans="1:31" ht="17.100000000000001" customHeight="1" x14ac:dyDescent="0.25">
      <c r="A1018" s="50">
        <v>46023</v>
      </c>
      <c r="B1018" s="53"/>
      <c r="C1018" s="55"/>
      <c r="D1018" s="56"/>
      <c r="E1018" s="57"/>
      <c r="F1018" s="55"/>
      <c r="G1018" s="57"/>
      <c r="H1018" s="58"/>
      <c r="I1018" s="26"/>
      <c r="J1018" s="61"/>
      <c r="K1018" s="64"/>
      <c r="L1018" s="11"/>
      <c r="M1018" s="53"/>
      <c r="N1018" s="42"/>
      <c r="O1018" s="43"/>
      <c r="P1018" s="36"/>
      <c r="Q1018" s="43"/>
      <c r="R1018" s="36"/>
      <c r="S1018" s="37"/>
      <c r="T1018" s="76">
        <f t="shared" ref="T1018" si="316">R1018-P1018</f>
        <v>0</v>
      </c>
      <c r="U1018" s="77"/>
      <c r="V1018" s="80"/>
      <c r="W1018" s="80"/>
      <c r="X1018" s="80"/>
      <c r="Y1018" s="83"/>
      <c r="Z1018" s="86"/>
      <c r="AA1018" s="48"/>
      <c r="AB1018" s="48"/>
      <c r="AC1018" s="96"/>
      <c r="AD1018" s="99"/>
      <c r="AE1018" s="101"/>
    </row>
    <row r="1019" spans="1:31" ht="17.100000000000001" customHeight="1" x14ac:dyDescent="0.25">
      <c r="A1019" s="51"/>
      <c r="B1019" s="54"/>
      <c r="C1019" s="68"/>
      <c r="D1019" s="69"/>
      <c r="E1019" s="70"/>
      <c r="F1019" s="68"/>
      <c r="G1019" s="70"/>
      <c r="H1019" s="59"/>
      <c r="I1019" s="24"/>
      <c r="J1019" s="62"/>
      <c r="K1019" s="65"/>
      <c r="L1019" s="17"/>
      <c r="M1019" s="54"/>
      <c r="N1019" s="44"/>
      <c r="O1019" s="45"/>
      <c r="P1019" s="38"/>
      <c r="Q1019" s="45"/>
      <c r="R1019" s="38"/>
      <c r="S1019" s="39"/>
      <c r="T1019" s="32"/>
      <c r="U1019" s="78"/>
      <c r="V1019" s="81"/>
      <c r="W1019" s="81"/>
      <c r="X1019" s="81"/>
      <c r="Y1019" s="84"/>
      <c r="Z1019" s="34"/>
      <c r="AA1019" s="29"/>
      <c r="AB1019" s="29"/>
      <c r="AC1019" s="97"/>
      <c r="AD1019" s="100"/>
      <c r="AE1019" s="102"/>
    </row>
    <row r="1020" spans="1:31" ht="17.100000000000001" customHeight="1" x14ac:dyDescent="0.25">
      <c r="A1020" s="51"/>
      <c r="B1020" s="66"/>
      <c r="C1020" s="68"/>
      <c r="D1020" s="69"/>
      <c r="E1020" s="70"/>
      <c r="F1020" s="68"/>
      <c r="G1020" s="70"/>
      <c r="H1020" s="59"/>
      <c r="I1020" s="27"/>
      <c r="J1020" s="63"/>
      <c r="K1020" s="71"/>
      <c r="L1020" s="18"/>
      <c r="M1020" s="66"/>
      <c r="N1020" s="46"/>
      <c r="O1020" s="47"/>
      <c r="P1020" s="40"/>
      <c r="Q1020" s="47"/>
      <c r="R1020" s="40"/>
      <c r="S1020" s="41"/>
      <c r="T1020" s="31">
        <f>(P1021-P1018)+(R1018-R1021)</f>
        <v>0</v>
      </c>
      <c r="U1020" s="78"/>
      <c r="V1020" s="81"/>
      <c r="W1020" s="81"/>
      <c r="X1020" s="81"/>
      <c r="Y1020" s="84"/>
      <c r="Z1020" s="87"/>
      <c r="AA1020" s="49"/>
      <c r="AB1020" s="49"/>
      <c r="AC1020" s="98"/>
      <c r="AD1020" s="104"/>
      <c r="AE1020" s="102"/>
    </row>
    <row r="1021" spans="1:31" ht="17.100000000000001" customHeight="1" x14ac:dyDescent="0.25">
      <c r="A1021" s="51"/>
      <c r="B1021" s="54"/>
      <c r="C1021" s="68"/>
      <c r="D1021" s="69"/>
      <c r="E1021" s="70"/>
      <c r="F1021" s="68"/>
      <c r="G1021" s="70"/>
      <c r="H1021" s="59"/>
      <c r="I1021" s="23"/>
      <c r="J1021" s="88"/>
      <c r="K1021" s="65"/>
      <c r="L1021" s="18"/>
      <c r="M1021" s="54"/>
      <c r="N1021" s="90">
        <f>(P1018-N1018)+(P1021-P1018)+(R1018-R1021)</f>
        <v>0</v>
      </c>
      <c r="O1021" s="91"/>
      <c r="P1021" s="90"/>
      <c r="Q1021" s="91"/>
      <c r="R1021" s="90"/>
      <c r="S1021" s="94"/>
      <c r="T1021" s="32"/>
      <c r="U1021" s="78"/>
      <c r="V1021" s="81"/>
      <c r="W1021" s="81"/>
      <c r="X1021" s="81"/>
      <c r="Y1021" s="84"/>
      <c r="Z1021" s="34"/>
      <c r="AA1021" s="28"/>
      <c r="AB1021" s="28"/>
      <c r="AC1021" s="97"/>
      <c r="AD1021" s="100"/>
      <c r="AE1021" s="102"/>
    </row>
    <row r="1022" spans="1:31" ht="17.100000000000001" customHeight="1" x14ac:dyDescent="0.25">
      <c r="A1022" s="51"/>
      <c r="B1022" s="66"/>
      <c r="C1022" s="68"/>
      <c r="D1022" s="69"/>
      <c r="E1022" s="70"/>
      <c r="F1022" s="68"/>
      <c r="G1022" s="70"/>
      <c r="H1022" s="59"/>
      <c r="I1022" s="24"/>
      <c r="J1022" s="62"/>
      <c r="K1022" s="71" t="s">
        <v>51</v>
      </c>
      <c r="L1022" s="16" t="s">
        <v>51</v>
      </c>
      <c r="M1022" s="66" t="s">
        <v>51</v>
      </c>
      <c r="N1022" s="38"/>
      <c r="O1022" s="45"/>
      <c r="P1022" s="38"/>
      <c r="Q1022" s="45"/>
      <c r="R1022" s="38"/>
      <c r="S1022" s="39"/>
      <c r="T1022" s="31">
        <f t="shared" ref="T1022" si="317">R1021-P1021</f>
        <v>0</v>
      </c>
      <c r="U1022" s="78"/>
      <c r="V1022" s="81"/>
      <c r="W1022" s="81"/>
      <c r="X1022" s="81"/>
      <c r="Y1022" s="84"/>
      <c r="Z1022" s="34"/>
      <c r="AA1022" s="29"/>
      <c r="AB1022" s="29"/>
      <c r="AC1022" s="97"/>
      <c r="AD1022" s="104"/>
      <c r="AE1022" s="102"/>
    </row>
    <row r="1023" spans="1:31" ht="17.100000000000001" customHeight="1" thickBot="1" x14ac:dyDescent="0.3">
      <c r="A1023" s="52"/>
      <c r="B1023" s="67"/>
      <c r="C1023" s="73"/>
      <c r="D1023" s="74"/>
      <c r="E1023" s="75"/>
      <c r="F1023" s="73"/>
      <c r="G1023" s="75"/>
      <c r="H1023" s="60"/>
      <c r="I1023" s="25"/>
      <c r="J1023" s="89"/>
      <c r="K1023" s="72"/>
      <c r="L1023" s="19" t="s">
        <v>52</v>
      </c>
      <c r="M1023" s="67"/>
      <c r="N1023" s="92"/>
      <c r="O1023" s="93"/>
      <c r="P1023" s="92"/>
      <c r="Q1023" s="93"/>
      <c r="R1023" s="92"/>
      <c r="S1023" s="95"/>
      <c r="T1023" s="33"/>
      <c r="U1023" s="79"/>
      <c r="V1023" s="82"/>
      <c r="W1023" s="82"/>
      <c r="X1023" s="82"/>
      <c r="Y1023" s="85"/>
      <c r="Z1023" s="35"/>
      <c r="AA1023" s="30"/>
      <c r="AB1023" s="30"/>
      <c r="AC1023" s="105"/>
      <c r="AD1023" s="106"/>
      <c r="AE1023" s="103"/>
    </row>
    <row r="1025" spans="1:31" ht="17.100000000000001" customHeight="1" thickBot="1" x14ac:dyDescent="0.3"/>
    <row r="1026" spans="1:31" ht="17.100000000000001" customHeight="1" x14ac:dyDescent="0.25">
      <c r="A1026" s="50">
        <v>46023</v>
      </c>
      <c r="B1026" s="53"/>
      <c r="C1026" s="55"/>
      <c r="D1026" s="56"/>
      <c r="E1026" s="57"/>
      <c r="F1026" s="55"/>
      <c r="G1026" s="57"/>
      <c r="H1026" s="58"/>
      <c r="I1026" s="26"/>
      <c r="J1026" s="61"/>
      <c r="K1026" s="64"/>
      <c r="L1026" s="11"/>
      <c r="M1026" s="53"/>
      <c r="N1026" s="42"/>
      <c r="O1026" s="43"/>
      <c r="P1026" s="36"/>
      <c r="Q1026" s="43"/>
      <c r="R1026" s="36"/>
      <c r="S1026" s="37"/>
      <c r="T1026" s="76">
        <f t="shared" ref="T1026" si="318">R1026-P1026</f>
        <v>0</v>
      </c>
      <c r="U1026" s="77"/>
      <c r="V1026" s="80"/>
      <c r="W1026" s="80"/>
      <c r="X1026" s="80"/>
      <c r="Y1026" s="83"/>
      <c r="Z1026" s="86"/>
      <c r="AA1026" s="48"/>
      <c r="AB1026" s="48"/>
      <c r="AC1026" s="96"/>
      <c r="AD1026" s="99"/>
      <c r="AE1026" s="101"/>
    </row>
    <row r="1027" spans="1:31" ht="17.100000000000001" customHeight="1" x14ac:dyDescent="0.25">
      <c r="A1027" s="51"/>
      <c r="B1027" s="54"/>
      <c r="C1027" s="68"/>
      <c r="D1027" s="69"/>
      <c r="E1027" s="70"/>
      <c r="F1027" s="68"/>
      <c r="G1027" s="70"/>
      <c r="H1027" s="59"/>
      <c r="I1027" s="24"/>
      <c r="J1027" s="62"/>
      <c r="K1027" s="65"/>
      <c r="L1027" s="17"/>
      <c r="M1027" s="54"/>
      <c r="N1027" s="44"/>
      <c r="O1027" s="45"/>
      <c r="P1027" s="38"/>
      <c r="Q1027" s="45"/>
      <c r="R1027" s="38"/>
      <c r="S1027" s="39"/>
      <c r="T1027" s="32"/>
      <c r="U1027" s="78"/>
      <c r="V1027" s="81"/>
      <c r="W1027" s="81"/>
      <c r="X1027" s="81"/>
      <c r="Y1027" s="84"/>
      <c r="Z1027" s="34"/>
      <c r="AA1027" s="29"/>
      <c r="AB1027" s="29"/>
      <c r="AC1027" s="97"/>
      <c r="AD1027" s="100"/>
      <c r="AE1027" s="102"/>
    </row>
    <row r="1028" spans="1:31" ht="17.100000000000001" customHeight="1" x14ac:dyDescent="0.25">
      <c r="A1028" s="51"/>
      <c r="B1028" s="66"/>
      <c r="C1028" s="68"/>
      <c r="D1028" s="69"/>
      <c r="E1028" s="70"/>
      <c r="F1028" s="68"/>
      <c r="G1028" s="70"/>
      <c r="H1028" s="59"/>
      <c r="I1028" s="27"/>
      <c r="J1028" s="63"/>
      <c r="K1028" s="71"/>
      <c r="L1028" s="18"/>
      <c r="M1028" s="66"/>
      <c r="N1028" s="46"/>
      <c r="O1028" s="47"/>
      <c r="P1028" s="40"/>
      <c r="Q1028" s="47"/>
      <c r="R1028" s="40"/>
      <c r="S1028" s="41"/>
      <c r="T1028" s="31">
        <f>(P1029-P1026)+(R1026-R1029)</f>
        <v>0</v>
      </c>
      <c r="U1028" s="78"/>
      <c r="V1028" s="81"/>
      <c r="W1028" s="81"/>
      <c r="X1028" s="81"/>
      <c r="Y1028" s="84"/>
      <c r="Z1028" s="87"/>
      <c r="AA1028" s="49"/>
      <c r="AB1028" s="49"/>
      <c r="AC1028" s="98"/>
      <c r="AD1028" s="104"/>
      <c r="AE1028" s="102"/>
    </row>
    <row r="1029" spans="1:31" ht="17.100000000000001" customHeight="1" x14ac:dyDescent="0.25">
      <c r="A1029" s="51"/>
      <c r="B1029" s="54"/>
      <c r="C1029" s="68"/>
      <c r="D1029" s="69"/>
      <c r="E1029" s="70"/>
      <c r="F1029" s="68"/>
      <c r="G1029" s="70"/>
      <c r="H1029" s="59"/>
      <c r="I1029" s="23"/>
      <c r="J1029" s="88"/>
      <c r="K1029" s="65"/>
      <c r="L1029" s="18"/>
      <c r="M1029" s="54"/>
      <c r="N1029" s="90">
        <f>(P1026-N1026)+(P1029-P1026)+(R1026-R1029)</f>
        <v>0</v>
      </c>
      <c r="O1029" s="91"/>
      <c r="P1029" s="90"/>
      <c r="Q1029" s="91"/>
      <c r="R1029" s="90"/>
      <c r="S1029" s="94"/>
      <c r="T1029" s="32"/>
      <c r="U1029" s="78"/>
      <c r="V1029" s="81"/>
      <c r="W1029" s="81"/>
      <c r="X1029" s="81"/>
      <c r="Y1029" s="84"/>
      <c r="Z1029" s="34"/>
      <c r="AA1029" s="28"/>
      <c r="AB1029" s="28"/>
      <c r="AC1029" s="97"/>
      <c r="AD1029" s="100"/>
      <c r="AE1029" s="102"/>
    </row>
    <row r="1030" spans="1:31" ht="17.100000000000001" customHeight="1" x14ac:dyDescent="0.25">
      <c r="A1030" s="51"/>
      <c r="B1030" s="66"/>
      <c r="C1030" s="68"/>
      <c r="D1030" s="69"/>
      <c r="E1030" s="70"/>
      <c r="F1030" s="68"/>
      <c r="G1030" s="70"/>
      <c r="H1030" s="59"/>
      <c r="I1030" s="24"/>
      <c r="J1030" s="62"/>
      <c r="K1030" s="71" t="s">
        <v>51</v>
      </c>
      <c r="L1030" s="16" t="s">
        <v>51</v>
      </c>
      <c r="M1030" s="66" t="s">
        <v>51</v>
      </c>
      <c r="N1030" s="38"/>
      <c r="O1030" s="45"/>
      <c r="P1030" s="38"/>
      <c r="Q1030" s="45"/>
      <c r="R1030" s="38"/>
      <c r="S1030" s="39"/>
      <c r="T1030" s="31">
        <f t="shared" ref="T1030" si="319">R1029-P1029</f>
        <v>0</v>
      </c>
      <c r="U1030" s="78"/>
      <c r="V1030" s="81"/>
      <c r="W1030" s="81"/>
      <c r="X1030" s="81"/>
      <c r="Y1030" s="84"/>
      <c r="Z1030" s="34"/>
      <c r="AA1030" s="29"/>
      <c r="AB1030" s="29"/>
      <c r="AC1030" s="97"/>
      <c r="AD1030" s="104"/>
      <c r="AE1030" s="102"/>
    </row>
    <row r="1031" spans="1:31" ht="17.100000000000001" customHeight="1" thickBot="1" x14ac:dyDescent="0.3">
      <c r="A1031" s="52"/>
      <c r="B1031" s="67"/>
      <c r="C1031" s="73"/>
      <c r="D1031" s="74"/>
      <c r="E1031" s="75"/>
      <c r="F1031" s="73"/>
      <c r="G1031" s="75"/>
      <c r="H1031" s="60"/>
      <c r="I1031" s="25"/>
      <c r="J1031" s="89"/>
      <c r="K1031" s="72"/>
      <c r="L1031" s="19" t="s">
        <v>52</v>
      </c>
      <c r="M1031" s="67"/>
      <c r="N1031" s="92"/>
      <c r="O1031" s="93"/>
      <c r="P1031" s="92"/>
      <c r="Q1031" s="93"/>
      <c r="R1031" s="92"/>
      <c r="S1031" s="95"/>
      <c r="T1031" s="33"/>
      <c r="U1031" s="79"/>
      <c r="V1031" s="82"/>
      <c r="W1031" s="82"/>
      <c r="X1031" s="82"/>
      <c r="Y1031" s="85"/>
      <c r="Z1031" s="35"/>
      <c r="AA1031" s="30"/>
      <c r="AB1031" s="30"/>
      <c r="AC1031" s="105"/>
      <c r="AD1031" s="106"/>
      <c r="AE1031" s="103"/>
    </row>
    <row r="1032" spans="1:31" ht="17.100000000000001" customHeight="1" x14ac:dyDescent="0.25">
      <c r="A1032" s="50">
        <v>46023</v>
      </c>
      <c r="B1032" s="53"/>
      <c r="C1032" s="55"/>
      <c r="D1032" s="56"/>
      <c r="E1032" s="57"/>
      <c r="F1032" s="55"/>
      <c r="G1032" s="57"/>
      <c r="H1032" s="58"/>
      <c r="I1032" s="26"/>
      <c r="J1032" s="61"/>
      <c r="K1032" s="64"/>
      <c r="L1032" s="11"/>
      <c r="M1032" s="53"/>
      <c r="N1032" s="42"/>
      <c r="O1032" s="43"/>
      <c r="P1032" s="36"/>
      <c r="Q1032" s="43"/>
      <c r="R1032" s="36"/>
      <c r="S1032" s="37"/>
      <c r="T1032" s="76">
        <f t="shared" ref="T1032" si="320">R1032-P1032</f>
        <v>0</v>
      </c>
      <c r="U1032" s="77"/>
      <c r="V1032" s="80"/>
      <c r="W1032" s="80"/>
      <c r="X1032" s="80"/>
      <c r="Y1032" s="83"/>
      <c r="Z1032" s="86"/>
      <c r="AA1032" s="48"/>
      <c r="AB1032" s="48"/>
      <c r="AC1032" s="96"/>
      <c r="AD1032" s="99"/>
      <c r="AE1032" s="101"/>
    </row>
    <row r="1033" spans="1:31" ht="17.100000000000001" customHeight="1" x14ac:dyDescent="0.25">
      <c r="A1033" s="51"/>
      <c r="B1033" s="54"/>
      <c r="C1033" s="68"/>
      <c r="D1033" s="69"/>
      <c r="E1033" s="70"/>
      <c r="F1033" s="68"/>
      <c r="G1033" s="70"/>
      <c r="H1033" s="59"/>
      <c r="I1033" s="24"/>
      <c r="J1033" s="62"/>
      <c r="K1033" s="65"/>
      <c r="L1033" s="17"/>
      <c r="M1033" s="54"/>
      <c r="N1033" s="44"/>
      <c r="O1033" s="45"/>
      <c r="P1033" s="38"/>
      <c r="Q1033" s="45"/>
      <c r="R1033" s="38"/>
      <c r="S1033" s="39"/>
      <c r="T1033" s="32"/>
      <c r="U1033" s="78"/>
      <c r="V1033" s="81"/>
      <c r="W1033" s="81"/>
      <c r="X1033" s="81"/>
      <c r="Y1033" s="84"/>
      <c r="Z1033" s="34"/>
      <c r="AA1033" s="29"/>
      <c r="AB1033" s="29"/>
      <c r="AC1033" s="97"/>
      <c r="AD1033" s="100"/>
      <c r="AE1033" s="102"/>
    </row>
    <row r="1034" spans="1:31" ht="17.100000000000001" customHeight="1" x14ac:dyDescent="0.25">
      <c r="A1034" s="51"/>
      <c r="B1034" s="66"/>
      <c r="C1034" s="68"/>
      <c r="D1034" s="69"/>
      <c r="E1034" s="70"/>
      <c r="F1034" s="68"/>
      <c r="G1034" s="70"/>
      <c r="H1034" s="59"/>
      <c r="I1034" s="27"/>
      <c r="J1034" s="63"/>
      <c r="K1034" s="71"/>
      <c r="L1034" s="18"/>
      <c r="M1034" s="66"/>
      <c r="N1034" s="46"/>
      <c r="O1034" s="47"/>
      <c r="P1034" s="40"/>
      <c r="Q1034" s="47"/>
      <c r="R1034" s="40"/>
      <c r="S1034" s="41"/>
      <c r="T1034" s="31">
        <f>(P1035-P1032)+(R1032-R1035)</f>
        <v>0</v>
      </c>
      <c r="U1034" s="78"/>
      <c r="V1034" s="81"/>
      <c r="W1034" s="81"/>
      <c r="X1034" s="81"/>
      <c r="Y1034" s="84"/>
      <c r="Z1034" s="87"/>
      <c r="AA1034" s="49"/>
      <c r="AB1034" s="49"/>
      <c r="AC1034" s="98"/>
      <c r="AD1034" s="104"/>
      <c r="AE1034" s="102"/>
    </row>
    <row r="1035" spans="1:31" ht="17.100000000000001" customHeight="1" x14ac:dyDescent="0.25">
      <c r="A1035" s="51"/>
      <c r="B1035" s="54"/>
      <c r="C1035" s="68"/>
      <c r="D1035" s="69"/>
      <c r="E1035" s="70"/>
      <c r="F1035" s="68"/>
      <c r="G1035" s="70"/>
      <c r="H1035" s="59"/>
      <c r="I1035" s="23"/>
      <c r="J1035" s="88"/>
      <c r="K1035" s="65"/>
      <c r="L1035" s="18"/>
      <c r="M1035" s="54"/>
      <c r="N1035" s="90">
        <f>(P1032-N1032)+(P1035-P1032)+(R1032-R1035)</f>
        <v>0</v>
      </c>
      <c r="O1035" s="91"/>
      <c r="P1035" s="90"/>
      <c r="Q1035" s="91"/>
      <c r="R1035" s="90"/>
      <c r="S1035" s="94"/>
      <c r="T1035" s="32"/>
      <c r="U1035" s="78"/>
      <c r="V1035" s="81"/>
      <c r="W1035" s="81"/>
      <c r="X1035" s="81"/>
      <c r="Y1035" s="84"/>
      <c r="Z1035" s="34"/>
      <c r="AA1035" s="28"/>
      <c r="AB1035" s="28"/>
      <c r="AC1035" s="97"/>
      <c r="AD1035" s="100"/>
      <c r="AE1035" s="102"/>
    </row>
    <row r="1036" spans="1:31" ht="17.100000000000001" customHeight="1" x14ac:dyDescent="0.25">
      <c r="A1036" s="51"/>
      <c r="B1036" s="66"/>
      <c r="C1036" s="68"/>
      <c r="D1036" s="69"/>
      <c r="E1036" s="70"/>
      <c r="F1036" s="68"/>
      <c r="G1036" s="70"/>
      <c r="H1036" s="59"/>
      <c r="I1036" s="24"/>
      <c r="J1036" s="62"/>
      <c r="K1036" s="71" t="s">
        <v>51</v>
      </c>
      <c r="L1036" s="16" t="s">
        <v>51</v>
      </c>
      <c r="M1036" s="66" t="s">
        <v>51</v>
      </c>
      <c r="N1036" s="38"/>
      <c r="O1036" s="45"/>
      <c r="P1036" s="38"/>
      <c r="Q1036" s="45"/>
      <c r="R1036" s="38"/>
      <c r="S1036" s="39"/>
      <c r="T1036" s="31">
        <f t="shared" ref="T1036" si="321">R1035-P1035</f>
        <v>0</v>
      </c>
      <c r="U1036" s="78"/>
      <c r="V1036" s="81"/>
      <c r="W1036" s="81"/>
      <c r="X1036" s="81"/>
      <c r="Y1036" s="84"/>
      <c r="Z1036" s="34"/>
      <c r="AA1036" s="29"/>
      <c r="AB1036" s="29"/>
      <c r="AC1036" s="97"/>
      <c r="AD1036" s="104"/>
      <c r="AE1036" s="102"/>
    </row>
    <row r="1037" spans="1:31" ht="17.100000000000001" customHeight="1" thickBot="1" x14ac:dyDescent="0.3">
      <c r="A1037" s="52"/>
      <c r="B1037" s="67"/>
      <c r="C1037" s="73"/>
      <c r="D1037" s="74"/>
      <c r="E1037" s="75"/>
      <c r="F1037" s="73"/>
      <c r="G1037" s="75"/>
      <c r="H1037" s="60"/>
      <c r="I1037" s="25"/>
      <c r="J1037" s="89"/>
      <c r="K1037" s="72"/>
      <c r="L1037" s="19" t="s">
        <v>52</v>
      </c>
      <c r="M1037" s="67"/>
      <c r="N1037" s="92"/>
      <c r="O1037" s="93"/>
      <c r="P1037" s="92"/>
      <c r="Q1037" s="93"/>
      <c r="R1037" s="92"/>
      <c r="S1037" s="95"/>
      <c r="T1037" s="33"/>
      <c r="U1037" s="79"/>
      <c r="V1037" s="82"/>
      <c r="W1037" s="82"/>
      <c r="X1037" s="82"/>
      <c r="Y1037" s="85"/>
      <c r="Z1037" s="35"/>
      <c r="AA1037" s="30"/>
      <c r="AB1037" s="30"/>
      <c r="AC1037" s="105"/>
      <c r="AD1037" s="106"/>
      <c r="AE1037" s="103"/>
    </row>
    <row r="1038" spans="1:31" ht="17.100000000000001" customHeight="1" x14ac:dyDescent="0.25">
      <c r="A1038" s="50">
        <v>46023</v>
      </c>
      <c r="B1038" s="53"/>
      <c r="C1038" s="55"/>
      <c r="D1038" s="56"/>
      <c r="E1038" s="57"/>
      <c r="F1038" s="55"/>
      <c r="G1038" s="57"/>
      <c r="H1038" s="58"/>
      <c r="I1038" s="26"/>
      <c r="J1038" s="61"/>
      <c r="K1038" s="64"/>
      <c r="L1038" s="11"/>
      <c r="M1038" s="53"/>
      <c r="N1038" s="42"/>
      <c r="O1038" s="43"/>
      <c r="P1038" s="36"/>
      <c r="Q1038" s="43"/>
      <c r="R1038" s="36"/>
      <c r="S1038" s="37"/>
      <c r="T1038" s="76">
        <f t="shared" ref="T1038" si="322">R1038-P1038</f>
        <v>0</v>
      </c>
      <c r="U1038" s="77"/>
      <c r="V1038" s="80"/>
      <c r="W1038" s="80"/>
      <c r="X1038" s="80"/>
      <c r="Y1038" s="83"/>
      <c r="Z1038" s="86"/>
      <c r="AA1038" s="48"/>
      <c r="AB1038" s="48"/>
      <c r="AC1038" s="96"/>
      <c r="AD1038" s="99"/>
      <c r="AE1038" s="101"/>
    </row>
    <row r="1039" spans="1:31" ht="17.100000000000001" customHeight="1" x14ac:dyDescent="0.25">
      <c r="A1039" s="51"/>
      <c r="B1039" s="54"/>
      <c r="C1039" s="68"/>
      <c r="D1039" s="69"/>
      <c r="E1039" s="70"/>
      <c r="F1039" s="68"/>
      <c r="G1039" s="70"/>
      <c r="H1039" s="59"/>
      <c r="I1039" s="24"/>
      <c r="J1039" s="62"/>
      <c r="K1039" s="65"/>
      <c r="L1039" s="17"/>
      <c r="M1039" s="54"/>
      <c r="N1039" s="44"/>
      <c r="O1039" s="45"/>
      <c r="P1039" s="38"/>
      <c r="Q1039" s="45"/>
      <c r="R1039" s="38"/>
      <c r="S1039" s="39"/>
      <c r="T1039" s="32"/>
      <c r="U1039" s="78"/>
      <c r="V1039" s="81"/>
      <c r="W1039" s="81"/>
      <c r="X1039" s="81"/>
      <c r="Y1039" s="84"/>
      <c r="Z1039" s="34"/>
      <c r="AA1039" s="29"/>
      <c r="AB1039" s="29"/>
      <c r="AC1039" s="97"/>
      <c r="AD1039" s="100"/>
      <c r="AE1039" s="102"/>
    </row>
    <row r="1040" spans="1:31" ht="17.100000000000001" customHeight="1" x14ac:dyDescent="0.25">
      <c r="A1040" s="51"/>
      <c r="B1040" s="66"/>
      <c r="C1040" s="68"/>
      <c r="D1040" s="69"/>
      <c r="E1040" s="70"/>
      <c r="F1040" s="68"/>
      <c r="G1040" s="70"/>
      <c r="H1040" s="59"/>
      <c r="I1040" s="27"/>
      <c r="J1040" s="63"/>
      <c r="K1040" s="71"/>
      <c r="L1040" s="18"/>
      <c r="M1040" s="66"/>
      <c r="N1040" s="46"/>
      <c r="O1040" s="47"/>
      <c r="P1040" s="40"/>
      <c r="Q1040" s="47"/>
      <c r="R1040" s="40"/>
      <c r="S1040" s="41"/>
      <c r="T1040" s="31">
        <f>(P1041-P1038)+(R1038-R1041)</f>
        <v>0</v>
      </c>
      <c r="U1040" s="78"/>
      <c r="V1040" s="81"/>
      <c r="W1040" s="81"/>
      <c r="X1040" s="81"/>
      <c r="Y1040" s="84"/>
      <c r="Z1040" s="87"/>
      <c r="AA1040" s="49"/>
      <c r="AB1040" s="49"/>
      <c r="AC1040" s="98"/>
      <c r="AD1040" s="104"/>
      <c r="AE1040" s="102"/>
    </row>
    <row r="1041" spans="1:31" ht="17.100000000000001" customHeight="1" x14ac:dyDescent="0.25">
      <c r="A1041" s="51"/>
      <c r="B1041" s="54"/>
      <c r="C1041" s="68"/>
      <c r="D1041" s="69"/>
      <c r="E1041" s="70"/>
      <c r="F1041" s="68"/>
      <c r="G1041" s="70"/>
      <c r="H1041" s="59"/>
      <c r="I1041" s="23"/>
      <c r="J1041" s="88"/>
      <c r="K1041" s="65"/>
      <c r="L1041" s="18"/>
      <c r="M1041" s="54"/>
      <c r="N1041" s="90">
        <f>(P1038-N1038)+(P1041-P1038)+(R1038-R1041)</f>
        <v>0</v>
      </c>
      <c r="O1041" s="91"/>
      <c r="P1041" s="90"/>
      <c r="Q1041" s="91"/>
      <c r="R1041" s="90"/>
      <c r="S1041" s="94"/>
      <c r="T1041" s="32"/>
      <c r="U1041" s="78"/>
      <c r="V1041" s="81"/>
      <c r="W1041" s="81"/>
      <c r="X1041" s="81"/>
      <c r="Y1041" s="84"/>
      <c r="Z1041" s="34"/>
      <c r="AA1041" s="28"/>
      <c r="AB1041" s="28"/>
      <c r="AC1041" s="97"/>
      <c r="AD1041" s="100"/>
      <c r="AE1041" s="102"/>
    </row>
    <row r="1042" spans="1:31" ht="17.100000000000001" customHeight="1" x14ac:dyDescent="0.25">
      <c r="A1042" s="51"/>
      <c r="B1042" s="66"/>
      <c r="C1042" s="68"/>
      <c r="D1042" s="69"/>
      <c r="E1042" s="70"/>
      <c r="F1042" s="68"/>
      <c r="G1042" s="70"/>
      <c r="H1042" s="59"/>
      <c r="I1042" s="24"/>
      <c r="J1042" s="62"/>
      <c r="K1042" s="71" t="s">
        <v>51</v>
      </c>
      <c r="L1042" s="16" t="s">
        <v>51</v>
      </c>
      <c r="M1042" s="66" t="s">
        <v>51</v>
      </c>
      <c r="N1042" s="38"/>
      <c r="O1042" s="45"/>
      <c r="P1042" s="38"/>
      <c r="Q1042" s="45"/>
      <c r="R1042" s="38"/>
      <c r="S1042" s="39"/>
      <c r="T1042" s="31">
        <f t="shared" ref="T1042" si="323">R1041-P1041</f>
        <v>0</v>
      </c>
      <c r="U1042" s="78"/>
      <c r="V1042" s="81"/>
      <c r="W1042" s="81"/>
      <c r="X1042" s="81"/>
      <c r="Y1042" s="84"/>
      <c r="Z1042" s="34"/>
      <c r="AA1042" s="29"/>
      <c r="AB1042" s="29"/>
      <c r="AC1042" s="97"/>
      <c r="AD1042" s="104"/>
      <c r="AE1042" s="102"/>
    </row>
    <row r="1043" spans="1:31" ht="17.100000000000001" customHeight="1" thickBot="1" x14ac:dyDescent="0.3">
      <c r="A1043" s="52"/>
      <c r="B1043" s="67"/>
      <c r="C1043" s="73"/>
      <c r="D1043" s="74"/>
      <c r="E1043" s="75"/>
      <c r="F1043" s="73"/>
      <c r="G1043" s="75"/>
      <c r="H1043" s="60"/>
      <c r="I1043" s="25"/>
      <c r="J1043" s="89"/>
      <c r="K1043" s="72"/>
      <c r="L1043" s="19" t="s">
        <v>52</v>
      </c>
      <c r="M1043" s="67"/>
      <c r="N1043" s="92"/>
      <c r="O1043" s="93"/>
      <c r="P1043" s="92"/>
      <c r="Q1043" s="93"/>
      <c r="R1043" s="92"/>
      <c r="S1043" s="95"/>
      <c r="T1043" s="33"/>
      <c r="U1043" s="79"/>
      <c r="V1043" s="82"/>
      <c r="W1043" s="82"/>
      <c r="X1043" s="82"/>
      <c r="Y1043" s="85"/>
      <c r="Z1043" s="35"/>
      <c r="AA1043" s="30"/>
      <c r="AB1043" s="30"/>
      <c r="AC1043" s="105"/>
      <c r="AD1043" s="106"/>
      <c r="AE1043" s="103"/>
    </row>
    <row r="1044" spans="1:31" ht="17.100000000000001" customHeight="1" x14ac:dyDescent="0.25">
      <c r="A1044" s="50">
        <v>46023</v>
      </c>
      <c r="B1044" s="53"/>
      <c r="C1044" s="55"/>
      <c r="D1044" s="56"/>
      <c r="E1044" s="57"/>
      <c r="F1044" s="55"/>
      <c r="G1044" s="57"/>
      <c r="H1044" s="58"/>
      <c r="I1044" s="26"/>
      <c r="J1044" s="61"/>
      <c r="K1044" s="64"/>
      <c r="L1044" s="11"/>
      <c r="M1044" s="53"/>
      <c r="N1044" s="42"/>
      <c r="O1044" s="43"/>
      <c r="P1044" s="36"/>
      <c r="Q1044" s="43"/>
      <c r="R1044" s="36"/>
      <c r="S1044" s="37"/>
      <c r="T1044" s="76">
        <f t="shared" ref="T1044" si="324">R1044-P1044</f>
        <v>0</v>
      </c>
      <c r="U1044" s="77"/>
      <c r="V1044" s="80"/>
      <c r="W1044" s="80"/>
      <c r="X1044" s="80"/>
      <c r="Y1044" s="83"/>
      <c r="Z1044" s="86"/>
      <c r="AA1044" s="48"/>
      <c r="AB1044" s="48"/>
      <c r="AC1044" s="96"/>
      <c r="AD1044" s="99"/>
      <c r="AE1044" s="101"/>
    </row>
    <row r="1045" spans="1:31" ht="17.100000000000001" customHeight="1" x14ac:dyDescent="0.25">
      <c r="A1045" s="51"/>
      <c r="B1045" s="54"/>
      <c r="C1045" s="68"/>
      <c r="D1045" s="69"/>
      <c r="E1045" s="70"/>
      <c r="F1045" s="68"/>
      <c r="G1045" s="70"/>
      <c r="H1045" s="59"/>
      <c r="I1045" s="24"/>
      <c r="J1045" s="62"/>
      <c r="K1045" s="65"/>
      <c r="L1045" s="17"/>
      <c r="M1045" s="54"/>
      <c r="N1045" s="44"/>
      <c r="O1045" s="45"/>
      <c r="P1045" s="38"/>
      <c r="Q1045" s="45"/>
      <c r="R1045" s="38"/>
      <c r="S1045" s="39"/>
      <c r="T1045" s="32"/>
      <c r="U1045" s="78"/>
      <c r="V1045" s="81"/>
      <c r="W1045" s="81"/>
      <c r="X1045" s="81"/>
      <c r="Y1045" s="84"/>
      <c r="Z1045" s="34"/>
      <c r="AA1045" s="29"/>
      <c r="AB1045" s="29"/>
      <c r="AC1045" s="97"/>
      <c r="AD1045" s="100"/>
      <c r="AE1045" s="102"/>
    </row>
    <row r="1046" spans="1:31" ht="17.100000000000001" customHeight="1" x14ac:dyDescent="0.25">
      <c r="A1046" s="51"/>
      <c r="B1046" s="66"/>
      <c r="C1046" s="68"/>
      <c r="D1046" s="69"/>
      <c r="E1046" s="70"/>
      <c r="F1046" s="68"/>
      <c r="G1046" s="70"/>
      <c r="H1046" s="59"/>
      <c r="I1046" s="27"/>
      <c r="J1046" s="63"/>
      <c r="K1046" s="71"/>
      <c r="L1046" s="18"/>
      <c r="M1046" s="66"/>
      <c r="N1046" s="46"/>
      <c r="O1046" s="47"/>
      <c r="P1046" s="40"/>
      <c r="Q1046" s="47"/>
      <c r="R1046" s="40"/>
      <c r="S1046" s="41"/>
      <c r="T1046" s="31">
        <f>(P1047-P1044)+(R1044-R1047)</f>
        <v>0</v>
      </c>
      <c r="U1046" s="78"/>
      <c r="V1046" s="81"/>
      <c r="W1046" s="81"/>
      <c r="X1046" s="81"/>
      <c r="Y1046" s="84"/>
      <c r="Z1046" s="87"/>
      <c r="AA1046" s="49"/>
      <c r="AB1046" s="49"/>
      <c r="AC1046" s="98"/>
      <c r="AD1046" s="104"/>
      <c r="AE1046" s="102"/>
    </row>
    <row r="1047" spans="1:31" ht="17.100000000000001" customHeight="1" x14ac:dyDescent="0.25">
      <c r="A1047" s="51"/>
      <c r="B1047" s="54"/>
      <c r="C1047" s="68"/>
      <c r="D1047" s="69"/>
      <c r="E1047" s="70"/>
      <c r="F1047" s="68"/>
      <c r="G1047" s="70"/>
      <c r="H1047" s="59"/>
      <c r="I1047" s="23"/>
      <c r="J1047" s="88"/>
      <c r="K1047" s="65"/>
      <c r="L1047" s="18"/>
      <c r="M1047" s="54"/>
      <c r="N1047" s="90">
        <f>(P1044-N1044)+(P1047-P1044)+(R1044-R1047)</f>
        <v>0</v>
      </c>
      <c r="O1047" s="91"/>
      <c r="P1047" s="90"/>
      <c r="Q1047" s="91"/>
      <c r="R1047" s="90"/>
      <c r="S1047" s="94"/>
      <c r="T1047" s="32"/>
      <c r="U1047" s="78"/>
      <c r="V1047" s="81"/>
      <c r="W1047" s="81"/>
      <c r="X1047" s="81"/>
      <c r="Y1047" s="84"/>
      <c r="Z1047" s="34"/>
      <c r="AA1047" s="28"/>
      <c r="AB1047" s="28"/>
      <c r="AC1047" s="97"/>
      <c r="AD1047" s="100"/>
      <c r="AE1047" s="102"/>
    </row>
    <row r="1048" spans="1:31" ht="17.100000000000001" customHeight="1" x14ac:dyDescent="0.25">
      <c r="A1048" s="51"/>
      <c r="B1048" s="66"/>
      <c r="C1048" s="68"/>
      <c r="D1048" s="69"/>
      <c r="E1048" s="70"/>
      <c r="F1048" s="68"/>
      <c r="G1048" s="70"/>
      <c r="H1048" s="59"/>
      <c r="I1048" s="24"/>
      <c r="J1048" s="62"/>
      <c r="K1048" s="71" t="s">
        <v>51</v>
      </c>
      <c r="L1048" s="16" t="s">
        <v>51</v>
      </c>
      <c r="M1048" s="66" t="s">
        <v>51</v>
      </c>
      <c r="N1048" s="38"/>
      <c r="O1048" s="45"/>
      <c r="P1048" s="38"/>
      <c r="Q1048" s="45"/>
      <c r="R1048" s="38"/>
      <c r="S1048" s="39"/>
      <c r="T1048" s="31">
        <f t="shared" ref="T1048" si="325">R1047-P1047</f>
        <v>0</v>
      </c>
      <c r="U1048" s="78"/>
      <c r="V1048" s="81"/>
      <c r="W1048" s="81"/>
      <c r="X1048" s="81"/>
      <c r="Y1048" s="84"/>
      <c r="Z1048" s="34"/>
      <c r="AA1048" s="29"/>
      <c r="AB1048" s="29"/>
      <c r="AC1048" s="97"/>
      <c r="AD1048" s="104"/>
      <c r="AE1048" s="102"/>
    </row>
    <row r="1049" spans="1:31" ht="17.100000000000001" customHeight="1" thickBot="1" x14ac:dyDescent="0.3">
      <c r="A1049" s="52"/>
      <c r="B1049" s="67"/>
      <c r="C1049" s="73"/>
      <c r="D1049" s="74"/>
      <c r="E1049" s="75"/>
      <c r="F1049" s="73"/>
      <c r="G1049" s="75"/>
      <c r="H1049" s="60"/>
      <c r="I1049" s="25"/>
      <c r="J1049" s="89"/>
      <c r="K1049" s="72"/>
      <c r="L1049" s="19" t="s">
        <v>52</v>
      </c>
      <c r="M1049" s="67"/>
      <c r="N1049" s="92"/>
      <c r="O1049" s="93"/>
      <c r="P1049" s="92"/>
      <c r="Q1049" s="93"/>
      <c r="R1049" s="92"/>
      <c r="S1049" s="95"/>
      <c r="T1049" s="33"/>
      <c r="U1049" s="79"/>
      <c r="V1049" s="82"/>
      <c r="W1049" s="82"/>
      <c r="X1049" s="82"/>
      <c r="Y1049" s="85"/>
      <c r="Z1049" s="35"/>
      <c r="AA1049" s="30"/>
      <c r="AB1049" s="30"/>
      <c r="AC1049" s="105"/>
      <c r="AD1049" s="106"/>
      <c r="AE1049" s="103"/>
    </row>
    <row r="1050" spans="1:31" ht="17.100000000000001" customHeight="1" x14ac:dyDescent="0.25">
      <c r="A1050" s="50">
        <v>46023</v>
      </c>
      <c r="B1050" s="53"/>
      <c r="C1050" s="55"/>
      <c r="D1050" s="56"/>
      <c r="E1050" s="57"/>
      <c r="F1050" s="55"/>
      <c r="G1050" s="57"/>
      <c r="H1050" s="58"/>
      <c r="I1050" s="26"/>
      <c r="J1050" s="61"/>
      <c r="K1050" s="64"/>
      <c r="L1050" s="11"/>
      <c r="M1050" s="53"/>
      <c r="N1050" s="42"/>
      <c r="O1050" s="43"/>
      <c r="P1050" s="36"/>
      <c r="Q1050" s="43"/>
      <c r="R1050" s="36"/>
      <c r="S1050" s="37"/>
      <c r="T1050" s="76">
        <f t="shared" ref="T1050" si="326">R1050-P1050</f>
        <v>0</v>
      </c>
      <c r="U1050" s="77"/>
      <c r="V1050" s="80"/>
      <c r="W1050" s="80"/>
      <c r="X1050" s="80"/>
      <c r="Y1050" s="83"/>
      <c r="Z1050" s="86"/>
      <c r="AA1050" s="48"/>
      <c r="AB1050" s="48"/>
      <c r="AC1050" s="96"/>
      <c r="AD1050" s="99"/>
      <c r="AE1050" s="101"/>
    </row>
    <row r="1051" spans="1:31" ht="17.100000000000001" customHeight="1" x14ac:dyDescent="0.25">
      <c r="A1051" s="51"/>
      <c r="B1051" s="54"/>
      <c r="C1051" s="68"/>
      <c r="D1051" s="69"/>
      <c r="E1051" s="70"/>
      <c r="F1051" s="68"/>
      <c r="G1051" s="70"/>
      <c r="H1051" s="59"/>
      <c r="I1051" s="24"/>
      <c r="J1051" s="62"/>
      <c r="K1051" s="65"/>
      <c r="L1051" s="17"/>
      <c r="M1051" s="54"/>
      <c r="N1051" s="44"/>
      <c r="O1051" s="45"/>
      <c r="P1051" s="38"/>
      <c r="Q1051" s="45"/>
      <c r="R1051" s="38"/>
      <c r="S1051" s="39"/>
      <c r="T1051" s="32"/>
      <c r="U1051" s="78"/>
      <c r="V1051" s="81"/>
      <c r="W1051" s="81"/>
      <c r="X1051" s="81"/>
      <c r="Y1051" s="84"/>
      <c r="Z1051" s="34"/>
      <c r="AA1051" s="29"/>
      <c r="AB1051" s="29"/>
      <c r="AC1051" s="97"/>
      <c r="AD1051" s="100"/>
      <c r="AE1051" s="102"/>
    </row>
    <row r="1052" spans="1:31" ht="17.100000000000001" customHeight="1" x14ac:dyDescent="0.25">
      <c r="A1052" s="51"/>
      <c r="B1052" s="66"/>
      <c r="C1052" s="68"/>
      <c r="D1052" s="69"/>
      <c r="E1052" s="70"/>
      <c r="F1052" s="68"/>
      <c r="G1052" s="70"/>
      <c r="H1052" s="59"/>
      <c r="I1052" s="27"/>
      <c r="J1052" s="63"/>
      <c r="K1052" s="71"/>
      <c r="L1052" s="18"/>
      <c r="M1052" s="66"/>
      <c r="N1052" s="46"/>
      <c r="O1052" s="47"/>
      <c r="P1052" s="40"/>
      <c r="Q1052" s="47"/>
      <c r="R1052" s="40"/>
      <c r="S1052" s="41"/>
      <c r="T1052" s="31">
        <f>(P1053-P1050)+(R1050-R1053)</f>
        <v>0</v>
      </c>
      <c r="U1052" s="78"/>
      <c r="V1052" s="81"/>
      <c r="W1052" s="81"/>
      <c r="X1052" s="81"/>
      <c r="Y1052" s="84"/>
      <c r="Z1052" s="87"/>
      <c r="AA1052" s="49"/>
      <c r="AB1052" s="49"/>
      <c r="AC1052" s="98"/>
      <c r="AD1052" s="104"/>
      <c r="AE1052" s="102"/>
    </row>
    <row r="1053" spans="1:31" ht="17.100000000000001" customHeight="1" x14ac:dyDescent="0.25">
      <c r="A1053" s="51"/>
      <c r="B1053" s="54"/>
      <c r="C1053" s="68"/>
      <c r="D1053" s="69"/>
      <c r="E1053" s="70"/>
      <c r="F1053" s="68"/>
      <c r="G1053" s="70"/>
      <c r="H1053" s="59"/>
      <c r="I1053" s="23"/>
      <c r="J1053" s="88"/>
      <c r="K1053" s="65"/>
      <c r="L1053" s="18"/>
      <c r="M1053" s="54"/>
      <c r="N1053" s="90">
        <f>(P1050-N1050)+(P1053-P1050)+(R1050-R1053)</f>
        <v>0</v>
      </c>
      <c r="O1053" s="91"/>
      <c r="P1053" s="90"/>
      <c r="Q1053" s="91"/>
      <c r="R1053" s="90"/>
      <c r="S1053" s="94"/>
      <c r="T1053" s="32"/>
      <c r="U1053" s="78"/>
      <c r="V1053" s="81"/>
      <c r="W1053" s="81"/>
      <c r="X1053" s="81"/>
      <c r="Y1053" s="84"/>
      <c r="Z1053" s="34"/>
      <c r="AA1053" s="28"/>
      <c r="AB1053" s="28"/>
      <c r="AC1053" s="97"/>
      <c r="AD1053" s="100"/>
      <c r="AE1053" s="102"/>
    </row>
    <row r="1054" spans="1:31" ht="17.100000000000001" customHeight="1" x14ac:dyDescent="0.25">
      <c r="A1054" s="51"/>
      <c r="B1054" s="66"/>
      <c r="C1054" s="68"/>
      <c r="D1054" s="69"/>
      <c r="E1054" s="70"/>
      <c r="F1054" s="68"/>
      <c r="G1054" s="70"/>
      <c r="H1054" s="59"/>
      <c r="I1054" s="24"/>
      <c r="J1054" s="62"/>
      <c r="K1054" s="71" t="s">
        <v>51</v>
      </c>
      <c r="L1054" s="16" t="s">
        <v>51</v>
      </c>
      <c r="M1054" s="66" t="s">
        <v>51</v>
      </c>
      <c r="N1054" s="38"/>
      <c r="O1054" s="45"/>
      <c r="P1054" s="38"/>
      <c r="Q1054" s="45"/>
      <c r="R1054" s="38"/>
      <c r="S1054" s="39"/>
      <c r="T1054" s="31">
        <f t="shared" ref="T1054" si="327">R1053-P1053</f>
        <v>0</v>
      </c>
      <c r="U1054" s="78"/>
      <c r="V1054" s="81"/>
      <c r="W1054" s="81"/>
      <c r="X1054" s="81"/>
      <c r="Y1054" s="84"/>
      <c r="Z1054" s="34"/>
      <c r="AA1054" s="29"/>
      <c r="AB1054" s="29"/>
      <c r="AC1054" s="97"/>
      <c r="AD1054" s="104"/>
      <c r="AE1054" s="102"/>
    </row>
    <row r="1055" spans="1:31" ht="17.100000000000001" customHeight="1" thickBot="1" x14ac:dyDescent="0.3">
      <c r="A1055" s="52"/>
      <c r="B1055" s="67"/>
      <c r="C1055" s="73"/>
      <c r="D1055" s="74"/>
      <c r="E1055" s="75"/>
      <c r="F1055" s="73"/>
      <c r="G1055" s="75"/>
      <c r="H1055" s="60"/>
      <c r="I1055" s="25"/>
      <c r="J1055" s="89"/>
      <c r="K1055" s="72"/>
      <c r="L1055" s="19" t="s">
        <v>52</v>
      </c>
      <c r="M1055" s="67"/>
      <c r="N1055" s="92"/>
      <c r="O1055" s="93"/>
      <c r="P1055" s="92"/>
      <c r="Q1055" s="93"/>
      <c r="R1055" s="92"/>
      <c r="S1055" s="95"/>
      <c r="T1055" s="33"/>
      <c r="U1055" s="79"/>
      <c r="V1055" s="82"/>
      <c r="W1055" s="82"/>
      <c r="X1055" s="82"/>
      <c r="Y1055" s="85"/>
      <c r="Z1055" s="35"/>
      <c r="AA1055" s="30"/>
      <c r="AB1055" s="30"/>
      <c r="AC1055" s="105"/>
      <c r="AD1055" s="106"/>
      <c r="AE1055" s="103"/>
    </row>
    <row r="1057" spans="1:31" ht="17.100000000000001" customHeight="1" thickBot="1" x14ac:dyDescent="0.3"/>
    <row r="1058" spans="1:31" ht="17.100000000000001" customHeight="1" x14ac:dyDescent="0.25">
      <c r="A1058" s="50">
        <v>46023</v>
      </c>
      <c r="B1058" s="53"/>
      <c r="C1058" s="55"/>
      <c r="D1058" s="56"/>
      <c r="E1058" s="57"/>
      <c r="F1058" s="55"/>
      <c r="G1058" s="57"/>
      <c r="H1058" s="58"/>
      <c r="I1058" s="26"/>
      <c r="J1058" s="61"/>
      <c r="K1058" s="64"/>
      <c r="L1058" s="11"/>
      <c r="M1058" s="53"/>
      <c r="N1058" s="42"/>
      <c r="O1058" s="43"/>
      <c r="P1058" s="36"/>
      <c r="Q1058" s="43"/>
      <c r="R1058" s="36"/>
      <c r="S1058" s="37"/>
      <c r="T1058" s="76">
        <f t="shared" ref="T1058" si="328">R1058-P1058</f>
        <v>0</v>
      </c>
      <c r="U1058" s="77"/>
      <c r="V1058" s="80"/>
      <c r="W1058" s="80"/>
      <c r="X1058" s="80"/>
      <c r="Y1058" s="83"/>
      <c r="Z1058" s="86"/>
      <c r="AA1058" s="48"/>
      <c r="AB1058" s="48"/>
      <c r="AC1058" s="96"/>
      <c r="AD1058" s="99"/>
      <c r="AE1058" s="101"/>
    </row>
    <row r="1059" spans="1:31" ht="17.100000000000001" customHeight="1" x14ac:dyDescent="0.25">
      <c r="A1059" s="51"/>
      <c r="B1059" s="54"/>
      <c r="C1059" s="68"/>
      <c r="D1059" s="69"/>
      <c r="E1059" s="70"/>
      <c r="F1059" s="68"/>
      <c r="G1059" s="70"/>
      <c r="H1059" s="59"/>
      <c r="I1059" s="24"/>
      <c r="J1059" s="62"/>
      <c r="K1059" s="65"/>
      <c r="L1059" s="17"/>
      <c r="M1059" s="54"/>
      <c r="N1059" s="44"/>
      <c r="O1059" s="45"/>
      <c r="P1059" s="38"/>
      <c r="Q1059" s="45"/>
      <c r="R1059" s="38"/>
      <c r="S1059" s="39"/>
      <c r="T1059" s="32"/>
      <c r="U1059" s="78"/>
      <c r="V1059" s="81"/>
      <c r="W1059" s="81"/>
      <c r="X1059" s="81"/>
      <c r="Y1059" s="84"/>
      <c r="Z1059" s="34"/>
      <c r="AA1059" s="29"/>
      <c r="AB1059" s="29"/>
      <c r="AC1059" s="97"/>
      <c r="AD1059" s="100"/>
      <c r="AE1059" s="102"/>
    </row>
    <row r="1060" spans="1:31" ht="17.100000000000001" customHeight="1" x14ac:dyDescent="0.25">
      <c r="A1060" s="51"/>
      <c r="B1060" s="66"/>
      <c r="C1060" s="68"/>
      <c r="D1060" s="69"/>
      <c r="E1060" s="70"/>
      <c r="F1060" s="68"/>
      <c r="G1060" s="70"/>
      <c r="H1060" s="59"/>
      <c r="I1060" s="27"/>
      <c r="J1060" s="63"/>
      <c r="K1060" s="71"/>
      <c r="L1060" s="18"/>
      <c r="M1060" s="66"/>
      <c r="N1060" s="46"/>
      <c r="O1060" s="47"/>
      <c r="P1060" s="40"/>
      <c r="Q1060" s="47"/>
      <c r="R1060" s="40"/>
      <c r="S1060" s="41"/>
      <c r="T1060" s="31">
        <f>(P1061-P1058)+(R1058-R1061)</f>
        <v>0</v>
      </c>
      <c r="U1060" s="78"/>
      <c r="V1060" s="81"/>
      <c r="W1060" s="81"/>
      <c r="X1060" s="81"/>
      <c r="Y1060" s="84"/>
      <c r="Z1060" s="87"/>
      <c r="AA1060" s="49"/>
      <c r="AB1060" s="49"/>
      <c r="AC1060" s="98"/>
      <c r="AD1060" s="104"/>
      <c r="AE1060" s="102"/>
    </row>
    <row r="1061" spans="1:31" ht="17.100000000000001" customHeight="1" x14ac:dyDescent="0.25">
      <c r="A1061" s="51"/>
      <c r="B1061" s="54"/>
      <c r="C1061" s="68"/>
      <c r="D1061" s="69"/>
      <c r="E1061" s="70"/>
      <c r="F1061" s="68"/>
      <c r="G1061" s="70"/>
      <c r="H1061" s="59"/>
      <c r="I1061" s="23"/>
      <c r="J1061" s="88"/>
      <c r="K1061" s="65"/>
      <c r="L1061" s="18"/>
      <c r="M1061" s="54"/>
      <c r="N1061" s="90">
        <f>(P1058-N1058)+(P1061-P1058)+(R1058-R1061)</f>
        <v>0</v>
      </c>
      <c r="O1061" s="91"/>
      <c r="P1061" s="90"/>
      <c r="Q1061" s="91"/>
      <c r="R1061" s="90"/>
      <c r="S1061" s="94"/>
      <c r="T1061" s="32"/>
      <c r="U1061" s="78"/>
      <c r="V1061" s="81"/>
      <c r="W1061" s="81"/>
      <c r="X1061" s="81"/>
      <c r="Y1061" s="84"/>
      <c r="Z1061" s="34"/>
      <c r="AA1061" s="28"/>
      <c r="AB1061" s="28"/>
      <c r="AC1061" s="97"/>
      <c r="AD1061" s="100"/>
      <c r="AE1061" s="102"/>
    </row>
    <row r="1062" spans="1:31" ht="17.100000000000001" customHeight="1" x14ac:dyDescent="0.25">
      <c r="A1062" s="51"/>
      <c r="B1062" s="66"/>
      <c r="C1062" s="68"/>
      <c r="D1062" s="69"/>
      <c r="E1062" s="70"/>
      <c r="F1062" s="68"/>
      <c r="G1062" s="70"/>
      <c r="H1062" s="59"/>
      <c r="I1062" s="24"/>
      <c r="J1062" s="62"/>
      <c r="K1062" s="71" t="s">
        <v>51</v>
      </c>
      <c r="L1062" s="16" t="s">
        <v>51</v>
      </c>
      <c r="M1062" s="66" t="s">
        <v>51</v>
      </c>
      <c r="N1062" s="38"/>
      <c r="O1062" s="45"/>
      <c r="P1062" s="38"/>
      <c r="Q1062" s="45"/>
      <c r="R1062" s="38"/>
      <c r="S1062" s="39"/>
      <c r="T1062" s="31">
        <f t="shared" ref="T1062" si="329">R1061-P1061</f>
        <v>0</v>
      </c>
      <c r="U1062" s="78"/>
      <c r="V1062" s="81"/>
      <c r="W1062" s="81"/>
      <c r="X1062" s="81"/>
      <c r="Y1062" s="84"/>
      <c r="Z1062" s="34"/>
      <c r="AA1062" s="29"/>
      <c r="AB1062" s="29"/>
      <c r="AC1062" s="97"/>
      <c r="AD1062" s="104"/>
      <c r="AE1062" s="102"/>
    </row>
    <row r="1063" spans="1:31" ht="17.100000000000001" customHeight="1" thickBot="1" x14ac:dyDescent="0.3">
      <c r="A1063" s="52"/>
      <c r="B1063" s="67"/>
      <c r="C1063" s="73"/>
      <c r="D1063" s="74"/>
      <c r="E1063" s="75"/>
      <c r="F1063" s="73"/>
      <c r="G1063" s="75"/>
      <c r="H1063" s="60"/>
      <c r="I1063" s="25"/>
      <c r="J1063" s="89"/>
      <c r="K1063" s="72"/>
      <c r="L1063" s="19" t="s">
        <v>52</v>
      </c>
      <c r="M1063" s="67"/>
      <c r="N1063" s="92"/>
      <c r="O1063" s="93"/>
      <c r="P1063" s="92"/>
      <c r="Q1063" s="93"/>
      <c r="R1063" s="92"/>
      <c r="S1063" s="95"/>
      <c r="T1063" s="33"/>
      <c r="U1063" s="79"/>
      <c r="V1063" s="82"/>
      <c r="W1063" s="82"/>
      <c r="X1063" s="82"/>
      <c r="Y1063" s="85"/>
      <c r="Z1063" s="35"/>
      <c r="AA1063" s="30"/>
      <c r="AB1063" s="30"/>
      <c r="AC1063" s="105"/>
      <c r="AD1063" s="106"/>
      <c r="AE1063" s="103"/>
    </row>
    <row r="1064" spans="1:31" ht="17.100000000000001" customHeight="1" x14ac:dyDescent="0.25">
      <c r="A1064" s="50">
        <v>46023</v>
      </c>
      <c r="B1064" s="53"/>
      <c r="C1064" s="55"/>
      <c r="D1064" s="56"/>
      <c r="E1064" s="57"/>
      <c r="F1064" s="55"/>
      <c r="G1064" s="57"/>
      <c r="H1064" s="58"/>
      <c r="I1064" s="26"/>
      <c r="J1064" s="61"/>
      <c r="K1064" s="64"/>
      <c r="L1064" s="11"/>
      <c r="M1064" s="53"/>
      <c r="N1064" s="42"/>
      <c r="O1064" s="43"/>
      <c r="P1064" s="36"/>
      <c r="Q1064" s="43"/>
      <c r="R1064" s="36"/>
      <c r="S1064" s="37"/>
      <c r="T1064" s="76">
        <f t="shared" ref="T1064" si="330">R1064-P1064</f>
        <v>0</v>
      </c>
      <c r="U1064" s="77"/>
      <c r="V1064" s="80"/>
      <c r="W1064" s="80"/>
      <c r="X1064" s="80"/>
      <c r="Y1064" s="83"/>
      <c r="Z1064" s="86"/>
      <c r="AA1064" s="48"/>
      <c r="AB1064" s="48"/>
      <c r="AC1064" s="96"/>
      <c r="AD1064" s="99"/>
      <c r="AE1064" s="101"/>
    </row>
    <row r="1065" spans="1:31" ht="17.100000000000001" customHeight="1" x14ac:dyDescent="0.25">
      <c r="A1065" s="51"/>
      <c r="B1065" s="54"/>
      <c r="C1065" s="68"/>
      <c r="D1065" s="69"/>
      <c r="E1065" s="70"/>
      <c r="F1065" s="68"/>
      <c r="G1065" s="70"/>
      <c r="H1065" s="59"/>
      <c r="I1065" s="24"/>
      <c r="J1065" s="62"/>
      <c r="K1065" s="65"/>
      <c r="L1065" s="17"/>
      <c r="M1065" s="54"/>
      <c r="N1065" s="44"/>
      <c r="O1065" s="45"/>
      <c r="P1065" s="38"/>
      <c r="Q1065" s="45"/>
      <c r="R1065" s="38"/>
      <c r="S1065" s="39"/>
      <c r="T1065" s="32"/>
      <c r="U1065" s="78"/>
      <c r="V1065" s="81"/>
      <c r="W1065" s="81"/>
      <c r="X1065" s="81"/>
      <c r="Y1065" s="84"/>
      <c r="Z1065" s="34"/>
      <c r="AA1065" s="29"/>
      <c r="AB1065" s="29"/>
      <c r="AC1065" s="97"/>
      <c r="AD1065" s="100"/>
      <c r="AE1065" s="102"/>
    </row>
    <row r="1066" spans="1:31" ht="17.100000000000001" customHeight="1" x14ac:dyDescent="0.25">
      <c r="A1066" s="51"/>
      <c r="B1066" s="66"/>
      <c r="C1066" s="68"/>
      <c r="D1066" s="69"/>
      <c r="E1066" s="70"/>
      <c r="F1066" s="68"/>
      <c r="G1066" s="70"/>
      <c r="H1066" s="59"/>
      <c r="I1066" s="27"/>
      <c r="J1066" s="63"/>
      <c r="K1066" s="71"/>
      <c r="L1066" s="18"/>
      <c r="M1066" s="66"/>
      <c r="N1066" s="46"/>
      <c r="O1066" s="47"/>
      <c r="P1066" s="40"/>
      <c r="Q1066" s="47"/>
      <c r="R1066" s="40"/>
      <c r="S1066" s="41"/>
      <c r="T1066" s="31">
        <f>(P1067-P1064)+(R1064-R1067)</f>
        <v>0</v>
      </c>
      <c r="U1066" s="78"/>
      <c r="V1066" s="81"/>
      <c r="W1066" s="81"/>
      <c r="X1066" s="81"/>
      <c r="Y1066" s="84"/>
      <c r="Z1066" s="87"/>
      <c r="AA1066" s="49"/>
      <c r="AB1066" s="49"/>
      <c r="AC1066" s="98"/>
      <c r="AD1066" s="104"/>
      <c r="AE1066" s="102"/>
    </row>
    <row r="1067" spans="1:31" ht="17.100000000000001" customHeight="1" x14ac:dyDescent="0.25">
      <c r="A1067" s="51"/>
      <c r="B1067" s="54"/>
      <c r="C1067" s="68"/>
      <c r="D1067" s="69"/>
      <c r="E1067" s="70"/>
      <c r="F1067" s="68"/>
      <c r="G1067" s="70"/>
      <c r="H1067" s="59"/>
      <c r="I1067" s="23"/>
      <c r="J1067" s="88"/>
      <c r="K1067" s="65"/>
      <c r="L1067" s="18"/>
      <c r="M1067" s="54"/>
      <c r="N1067" s="90">
        <f>(P1064-N1064)+(P1067-P1064)+(R1064-R1067)</f>
        <v>0</v>
      </c>
      <c r="O1067" s="91"/>
      <c r="P1067" s="90"/>
      <c r="Q1067" s="91"/>
      <c r="R1067" s="90"/>
      <c r="S1067" s="94"/>
      <c r="T1067" s="32"/>
      <c r="U1067" s="78"/>
      <c r="V1067" s="81"/>
      <c r="W1067" s="81"/>
      <c r="X1067" s="81"/>
      <c r="Y1067" s="84"/>
      <c r="Z1067" s="34"/>
      <c r="AA1067" s="28"/>
      <c r="AB1067" s="28"/>
      <c r="AC1067" s="97"/>
      <c r="AD1067" s="100"/>
      <c r="AE1067" s="102"/>
    </row>
    <row r="1068" spans="1:31" ht="17.100000000000001" customHeight="1" x14ac:dyDescent="0.25">
      <c r="A1068" s="51"/>
      <c r="B1068" s="66"/>
      <c r="C1068" s="68"/>
      <c r="D1068" s="69"/>
      <c r="E1068" s="70"/>
      <c r="F1068" s="68"/>
      <c r="G1068" s="70"/>
      <c r="H1068" s="59"/>
      <c r="I1068" s="24"/>
      <c r="J1068" s="62"/>
      <c r="K1068" s="71" t="s">
        <v>51</v>
      </c>
      <c r="L1068" s="16" t="s">
        <v>51</v>
      </c>
      <c r="M1068" s="66" t="s">
        <v>51</v>
      </c>
      <c r="N1068" s="38"/>
      <c r="O1068" s="45"/>
      <c r="P1068" s="38"/>
      <c r="Q1068" s="45"/>
      <c r="R1068" s="38"/>
      <c r="S1068" s="39"/>
      <c r="T1068" s="31">
        <f t="shared" ref="T1068" si="331">R1067-P1067</f>
        <v>0</v>
      </c>
      <c r="U1068" s="78"/>
      <c r="V1068" s="81"/>
      <c r="W1068" s="81"/>
      <c r="X1068" s="81"/>
      <c r="Y1068" s="84"/>
      <c r="Z1068" s="34"/>
      <c r="AA1068" s="29"/>
      <c r="AB1068" s="29"/>
      <c r="AC1068" s="97"/>
      <c r="AD1068" s="104"/>
      <c r="AE1068" s="102"/>
    </row>
    <row r="1069" spans="1:31" ht="17.100000000000001" customHeight="1" thickBot="1" x14ac:dyDescent="0.3">
      <c r="A1069" s="52"/>
      <c r="B1069" s="67"/>
      <c r="C1069" s="73"/>
      <c r="D1069" s="74"/>
      <c r="E1069" s="75"/>
      <c r="F1069" s="73"/>
      <c r="G1069" s="75"/>
      <c r="H1069" s="60"/>
      <c r="I1069" s="25"/>
      <c r="J1069" s="89"/>
      <c r="K1069" s="72"/>
      <c r="L1069" s="19" t="s">
        <v>52</v>
      </c>
      <c r="M1069" s="67"/>
      <c r="N1069" s="92"/>
      <c r="O1069" s="93"/>
      <c r="P1069" s="92"/>
      <c r="Q1069" s="93"/>
      <c r="R1069" s="92"/>
      <c r="S1069" s="95"/>
      <c r="T1069" s="33"/>
      <c r="U1069" s="79"/>
      <c r="V1069" s="82"/>
      <c r="W1069" s="82"/>
      <c r="X1069" s="82"/>
      <c r="Y1069" s="85"/>
      <c r="Z1069" s="35"/>
      <c r="AA1069" s="30"/>
      <c r="AB1069" s="30"/>
      <c r="AC1069" s="105"/>
      <c r="AD1069" s="106"/>
      <c r="AE1069" s="103"/>
    </row>
    <row r="1070" spans="1:31" ht="17.100000000000001" customHeight="1" x14ac:dyDescent="0.25">
      <c r="A1070" s="50">
        <v>46023</v>
      </c>
      <c r="B1070" s="53"/>
      <c r="C1070" s="55"/>
      <c r="D1070" s="56"/>
      <c r="E1070" s="57"/>
      <c r="F1070" s="55"/>
      <c r="G1070" s="57"/>
      <c r="H1070" s="58"/>
      <c r="I1070" s="26"/>
      <c r="J1070" s="61"/>
      <c r="K1070" s="64"/>
      <c r="L1070" s="11"/>
      <c r="M1070" s="53"/>
      <c r="N1070" s="42"/>
      <c r="O1070" s="43"/>
      <c r="P1070" s="36"/>
      <c r="Q1070" s="43"/>
      <c r="R1070" s="36"/>
      <c r="S1070" s="37"/>
      <c r="T1070" s="76">
        <f t="shared" ref="T1070" si="332">R1070-P1070</f>
        <v>0</v>
      </c>
      <c r="U1070" s="77"/>
      <c r="V1070" s="80"/>
      <c r="W1070" s="80"/>
      <c r="X1070" s="80"/>
      <c r="Y1070" s="83"/>
      <c r="Z1070" s="86"/>
      <c r="AA1070" s="48"/>
      <c r="AB1070" s="48"/>
      <c r="AC1070" s="96"/>
      <c r="AD1070" s="99"/>
      <c r="AE1070" s="101"/>
    </row>
    <row r="1071" spans="1:31" ht="17.100000000000001" customHeight="1" x14ac:dyDescent="0.25">
      <c r="A1071" s="51"/>
      <c r="B1071" s="54"/>
      <c r="C1071" s="68"/>
      <c r="D1071" s="69"/>
      <c r="E1071" s="70"/>
      <c r="F1071" s="68"/>
      <c r="G1071" s="70"/>
      <c r="H1071" s="59"/>
      <c r="I1071" s="24"/>
      <c r="J1071" s="62"/>
      <c r="K1071" s="65"/>
      <c r="L1071" s="17"/>
      <c r="M1071" s="54"/>
      <c r="N1071" s="44"/>
      <c r="O1071" s="45"/>
      <c r="P1071" s="38"/>
      <c r="Q1071" s="45"/>
      <c r="R1071" s="38"/>
      <c r="S1071" s="39"/>
      <c r="T1071" s="32"/>
      <c r="U1071" s="78"/>
      <c r="V1071" s="81"/>
      <c r="W1071" s="81"/>
      <c r="X1071" s="81"/>
      <c r="Y1071" s="84"/>
      <c r="Z1071" s="34"/>
      <c r="AA1071" s="29"/>
      <c r="AB1071" s="29"/>
      <c r="AC1071" s="97"/>
      <c r="AD1071" s="100"/>
      <c r="AE1071" s="102"/>
    </row>
    <row r="1072" spans="1:31" ht="17.100000000000001" customHeight="1" x14ac:dyDescent="0.25">
      <c r="A1072" s="51"/>
      <c r="B1072" s="66"/>
      <c r="C1072" s="68"/>
      <c r="D1072" s="69"/>
      <c r="E1072" s="70"/>
      <c r="F1072" s="68"/>
      <c r="G1072" s="70"/>
      <c r="H1072" s="59"/>
      <c r="I1072" s="27"/>
      <c r="J1072" s="63"/>
      <c r="K1072" s="71"/>
      <c r="L1072" s="18"/>
      <c r="M1072" s="66"/>
      <c r="N1072" s="46"/>
      <c r="O1072" s="47"/>
      <c r="P1072" s="40"/>
      <c r="Q1072" s="47"/>
      <c r="R1072" s="40"/>
      <c r="S1072" s="41"/>
      <c r="T1072" s="31">
        <f>(P1073-P1070)+(R1070-R1073)</f>
        <v>0</v>
      </c>
      <c r="U1072" s="78"/>
      <c r="V1072" s="81"/>
      <c r="W1072" s="81"/>
      <c r="X1072" s="81"/>
      <c r="Y1072" s="84"/>
      <c r="Z1072" s="87"/>
      <c r="AA1072" s="49"/>
      <c r="AB1072" s="49"/>
      <c r="AC1072" s="98"/>
      <c r="AD1072" s="104"/>
      <c r="AE1072" s="102"/>
    </row>
    <row r="1073" spans="1:31" ht="17.100000000000001" customHeight="1" x14ac:dyDescent="0.25">
      <c r="A1073" s="51"/>
      <c r="B1073" s="54"/>
      <c r="C1073" s="68"/>
      <c r="D1073" s="69"/>
      <c r="E1073" s="70"/>
      <c r="F1073" s="68"/>
      <c r="G1073" s="70"/>
      <c r="H1073" s="59"/>
      <c r="I1073" s="23"/>
      <c r="J1073" s="88"/>
      <c r="K1073" s="65"/>
      <c r="L1073" s="18"/>
      <c r="M1073" s="54"/>
      <c r="N1073" s="90">
        <f>(P1070-N1070)+(P1073-P1070)+(R1070-R1073)</f>
        <v>0</v>
      </c>
      <c r="O1073" s="91"/>
      <c r="P1073" s="90"/>
      <c r="Q1073" s="91"/>
      <c r="R1073" s="90"/>
      <c r="S1073" s="94"/>
      <c r="T1073" s="32"/>
      <c r="U1073" s="78"/>
      <c r="V1073" s="81"/>
      <c r="W1073" s="81"/>
      <c r="X1073" s="81"/>
      <c r="Y1073" s="84"/>
      <c r="Z1073" s="34"/>
      <c r="AA1073" s="28"/>
      <c r="AB1073" s="28"/>
      <c r="AC1073" s="97"/>
      <c r="AD1073" s="100"/>
      <c r="AE1073" s="102"/>
    </row>
    <row r="1074" spans="1:31" ht="17.100000000000001" customHeight="1" x14ac:dyDescent="0.25">
      <c r="A1074" s="51"/>
      <c r="B1074" s="66"/>
      <c r="C1074" s="68"/>
      <c r="D1074" s="69"/>
      <c r="E1074" s="70"/>
      <c r="F1074" s="68"/>
      <c r="G1074" s="70"/>
      <c r="H1074" s="59"/>
      <c r="I1074" s="24"/>
      <c r="J1074" s="62"/>
      <c r="K1074" s="71" t="s">
        <v>51</v>
      </c>
      <c r="L1074" s="16" t="s">
        <v>51</v>
      </c>
      <c r="M1074" s="66" t="s">
        <v>51</v>
      </c>
      <c r="N1074" s="38"/>
      <c r="O1074" s="45"/>
      <c r="P1074" s="38"/>
      <c r="Q1074" s="45"/>
      <c r="R1074" s="38"/>
      <c r="S1074" s="39"/>
      <c r="T1074" s="31">
        <f t="shared" ref="T1074" si="333">R1073-P1073</f>
        <v>0</v>
      </c>
      <c r="U1074" s="78"/>
      <c r="V1074" s="81"/>
      <c r="W1074" s="81"/>
      <c r="X1074" s="81"/>
      <c r="Y1074" s="84"/>
      <c r="Z1074" s="34"/>
      <c r="AA1074" s="29"/>
      <c r="AB1074" s="29"/>
      <c r="AC1074" s="97"/>
      <c r="AD1074" s="104"/>
      <c r="AE1074" s="102"/>
    </row>
    <row r="1075" spans="1:31" ht="17.100000000000001" customHeight="1" thickBot="1" x14ac:dyDescent="0.3">
      <c r="A1075" s="52"/>
      <c r="B1075" s="67"/>
      <c r="C1075" s="73"/>
      <c r="D1075" s="74"/>
      <c r="E1075" s="75"/>
      <c r="F1075" s="73"/>
      <c r="G1075" s="75"/>
      <c r="H1075" s="60"/>
      <c r="I1075" s="25"/>
      <c r="J1075" s="89"/>
      <c r="K1075" s="72"/>
      <c r="L1075" s="19" t="s">
        <v>52</v>
      </c>
      <c r="M1075" s="67"/>
      <c r="N1075" s="92"/>
      <c r="O1075" s="93"/>
      <c r="P1075" s="92"/>
      <c r="Q1075" s="93"/>
      <c r="R1075" s="92"/>
      <c r="S1075" s="95"/>
      <c r="T1075" s="33"/>
      <c r="U1075" s="79"/>
      <c r="V1075" s="82"/>
      <c r="W1075" s="82"/>
      <c r="X1075" s="82"/>
      <c r="Y1075" s="85"/>
      <c r="Z1075" s="35"/>
      <c r="AA1075" s="30"/>
      <c r="AB1075" s="30"/>
      <c r="AC1075" s="105"/>
      <c r="AD1075" s="106"/>
      <c r="AE1075" s="103"/>
    </row>
    <row r="1076" spans="1:31" ht="17.100000000000001" customHeight="1" x14ac:dyDescent="0.25">
      <c r="A1076" s="50">
        <v>46023</v>
      </c>
      <c r="B1076" s="53"/>
      <c r="C1076" s="55"/>
      <c r="D1076" s="56"/>
      <c r="E1076" s="57"/>
      <c r="F1076" s="55"/>
      <c r="G1076" s="57"/>
      <c r="H1076" s="58"/>
      <c r="I1076" s="26"/>
      <c r="J1076" s="61"/>
      <c r="K1076" s="64"/>
      <c r="L1076" s="11"/>
      <c r="M1076" s="53"/>
      <c r="N1076" s="42"/>
      <c r="O1076" s="43"/>
      <c r="P1076" s="36"/>
      <c r="Q1076" s="43"/>
      <c r="R1076" s="36"/>
      <c r="S1076" s="37"/>
      <c r="T1076" s="76">
        <f t="shared" ref="T1076" si="334">R1076-P1076</f>
        <v>0</v>
      </c>
      <c r="U1076" s="77"/>
      <c r="V1076" s="80"/>
      <c r="W1076" s="80"/>
      <c r="X1076" s="80"/>
      <c r="Y1076" s="83"/>
      <c r="Z1076" s="86"/>
      <c r="AA1076" s="48"/>
      <c r="AB1076" s="48"/>
      <c r="AC1076" s="96"/>
      <c r="AD1076" s="99"/>
      <c r="AE1076" s="101"/>
    </row>
    <row r="1077" spans="1:31" ht="17.100000000000001" customHeight="1" x14ac:dyDescent="0.25">
      <c r="A1077" s="51"/>
      <c r="B1077" s="54"/>
      <c r="C1077" s="68"/>
      <c r="D1077" s="69"/>
      <c r="E1077" s="70"/>
      <c r="F1077" s="68"/>
      <c r="G1077" s="70"/>
      <c r="H1077" s="59"/>
      <c r="I1077" s="24"/>
      <c r="J1077" s="62"/>
      <c r="K1077" s="65"/>
      <c r="L1077" s="17"/>
      <c r="M1077" s="54"/>
      <c r="N1077" s="44"/>
      <c r="O1077" s="45"/>
      <c r="P1077" s="38"/>
      <c r="Q1077" s="45"/>
      <c r="R1077" s="38"/>
      <c r="S1077" s="39"/>
      <c r="T1077" s="32"/>
      <c r="U1077" s="78"/>
      <c r="V1077" s="81"/>
      <c r="W1077" s="81"/>
      <c r="X1077" s="81"/>
      <c r="Y1077" s="84"/>
      <c r="Z1077" s="34"/>
      <c r="AA1077" s="29"/>
      <c r="AB1077" s="29"/>
      <c r="AC1077" s="97"/>
      <c r="AD1077" s="100"/>
      <c r="AE1077" s="102"/>
    </row>
    <row r="1078" spans="1:31" ht="17.100000000000001" customHeight="1" x14ac:dyDescent="0.25">
      <c r="A1078" s="51"/>
      <c r="B1078" s="66"/>
      <c r="C1078" s="68"/>
      <c r="D1078" s="69"/>
      <c r="E1078" s="70"/>
      <c r="F1078" s="68"/>
      <c r="G1078" s="70"/>
      <c r="H1078" s="59"/>
      <c r="I1078" s="27"/>
      <c r="J1078" s="63"/>
      <c r="K1078" s="71"/>
      <c r="L1078" s="18"/>
      <c r="M1078" s="66"/>
      <c r="N1078" s="46"/>
      <c r="O1078" s="47"/>
      <c r="P1078" s="40"/>
      <c r="Q1078" s="47"/>
      <c r="R1078" s="40"/>
      <c r="S1078" s="41"/>
      <c r="T1078" s="31">
        <f>(P1079-P1076)+(R1076-R1079)</f>
        <v>0</v>
      </c>
      <c r="U1078" s="78"/>
      <c r="V1078" s="81"/>
      <c r="W1078" s="81"/>
      <c r="X1078" s="81"/>
      <c r="Y1078" s="84"/>
      <c r="Z1078" s="87"/>
      <c r="AA1078" s="49"/>
      <c r="AB1078" s="49"/>
      <c r="AC1078" s="98"/>
      <c r="AD1078" s="104"/>
      <c r="AE1078" s="102"/>
    </row>
    <row r="1079" spans="1:31" ht="17.100000000000001" customHeight="1" x14ac:dyDescent="0.25">
      <c r="A1079" s="51"/>
      <c r="B1079" s="54"/>
      <c r="C1079" s="68"/>
      <c r="D1079" s="69"/>
      <c r="E1079" s="70"/>
      <c r="F1079" s="68"/>
      <c r="G1079" s="70"/>
      <c r="H1079" s="59"/>
      <c r="I1079" s="23"/>
      <c r="J1079" s="88"/>
      <c r="K1079" s="65"/>
      <c r="L1079" s="18"/>
      <c r="M1079" s="54"/>
      <c r="N1079" s="90">
        <f>(P1076-N1076)+(P1079-P1076)+(R1076-R1079)</f>
        <v>0</v>
      </c>
      <c r="O1079" s="91"/>
      <c r="P1079" s="90"/>
      <c r="Q1079" s="91"/>
      <c r="R1079" s="90"/>
      <c r="S1079" s="94"/>
      <c r="T1079" s="32"/>
      <c r="U1079" s="78"/>
      <c r="V1079" s="81"/>
      <c r="W1079" s="81"/>
      <c r="X1079" s="81"/>
      <c r="Y1079" s="84"/>
      <c r="Z1079" s="34"/>
      <c r="AA1079" s="28"/>
      <c r="AB1079" s="28"/>
      <c r="AC1079" s="97"/>
      <c r="AD1079" s="100"/>
      <c r="AE1079" s="102"/>
    </row>
    <row r="1080" spans="1:31" ht="17.100000000000001" customHeight="1" x14ac:dyDescent="0.25">
      <c r="A1080" s="51"/>
      <c r="B1080" s="66"/>
      <c r="C1080" s="68"/>
      <c r="D1080" s="69"/>
      <c r="E1080" s="70"/>
      <c r="F1080" s="68"/>
      <c r="G1080" s="70"/>
      <c r="H1080" s="59"/>
      <c r="I1080" s="24"/>
      <c r="J1080" s="62"/>
      <c r="K1080" s="71" t="s">
        <v>51</v>
      </c>
      <c r="L1080" s="16" t="s">
        <v>51</v>
      </c>
      <c r="M1080" s="66" t="s">
        <v>51</v>
      </c>
      <c r="N1080" s="38"/>
      <c r="O1080" s="45"/>
      <c r="P1080" s="38"/>
      <c r="Q1080" s="45"/>
      <c r="R1080" s="38"/>
      <c r="S1080" s="39"/>
      <c r="T1080" s="31">
        <f t="shared" ref="T1080" si="335">R1079-P1079</f>
        <v>0</v>
      </c>
      <c r="U1080" s="78"/>
      <c r="V1080" s="81"/>
      <c r="W1080" s="81"/>
      <c r="X1080" s="81"/>
      <c r="Y1080" s="84"/>
      <c r="Z1080" s="34"/>
      <c r="AA1080" s="29"/>
      <c r="AB1080" s="29"/>
      <c r="AC1080" s="97"/>
      <c r="AD1080" s="104"/>
      <c r="AE1080" s="102"/>
    </row>
    <row r="1081" spans="1:31" ht="17.100000000000001" customHeight="1" thickBot="1" x14ac:dyDescent="0.3">
      <c r="A1081" s="52"/>
      <c r="B1081" s="67"/>
      <c r="C1081" s="73"/>
      <c r="D1081" s="74"/>
      <c r="E1081" s="75"/>
      <c r="F1081" s="73"/>
      <c r="G1081" s="75"/>
      <c r="H1081" s="60"/>
      <c r="I1081" s="25"/>
      <c r="J1081" s="89"/>
      <c r="K1081" s="72"/>
      <c r="L1081" s="19" t="s">
        <v>52</v>
      </c>
      <c r="M1081" s="67"/>
      <c r="N1081" s="92"/>
      <c r="O1081" s="93"/>
      <c r="P1081" s="92"/>
      <c r="Q1081" s="93"/>
      <c r="R1081" s="92"/>
      <c r="S1081" s="95"/>
      <c r="T1081" s="33"/>
      <c r="U1081" s="79"/>
      <c r="V1081" s="82"/>
      <c r="W1081" s="82"/>
      <c r="X1081" s="82"/>
      <c r="Y1081" s="85"/>
      <c r="Z1081" s="35"/>
      <c r="AA1081" s="30"/>
      <c r="AB1081" s="30"/>
      <c r="AC1081" s="105"/>
      <c r="AD1081" s="106"/>
      <c r="AE1081" s="103"/>
    </row>
    <row r="1082" spans="1:31" ht="17.100000000000001" customHeight="1" x14ac:dyDescent="0.25">
      <c r="A1082" s="50">
        <v>46023</v>
      </c>
      <c r="B1082" s="53"/>
      <c r="C1082" s="55"/>
      <c r="D1082" s="56"/>
      <c r="E1082" s="57"/>
      <c r="F1082" s="55"/>
      <c r="G1082" s="57"/>
      <c r="H1082" s="58"/>
      <c r="I1082" s="26"/>
      <c r="J1082" s="61"/>
      <c r="K1082" s="64"/>
      <c r="L1082" s="11"/>
      <c r="M1082" s="53"/>
      <c r="N1082" s="42"/>
      <c r="O1082" s="43"/>
      <c r="P1082" s="36"/>
      <c r="Q1082" s="43"/>
      <c r="R1082" s="36"/>
      <c r="S1082" s="37"/>
      <c r="T1082" s="76">
        <f t="shared" ref="T1082" si="336">R1082-P1082</f>
        <v>0</v>
      </c>
      <c r="U1082" s="77"/>
      <c r="V1082" s="80"/>
      <c r="W1082" s="80"/>
      <c r="X1082" s="80"/>
      <c r="Y1082" s="83"/>
      <c r="Z1082" s="86"/>
      <c r="AA1082" s="48"/>
      <c r="AB1082" s="48"/>
      <c r="AC1082" s="96"/>
      <c r="AD1082" s="99"/>
      <c r="AE1082" s="101"/>
    </row>
    <row r="1083" spans="1:31" ht="17.100000000000001" customHeight="1" x14ac:dyDescent="0.25">
      <c r="A1083" s="51"/>
      <c r="B1083" s="54"/>
      <c r="C1083" s="68"/>
      <c r="D1083" s="69"/>
      <c r="E1083" s="70"/>
      <c r="F1083" s="68"/>
      <c r="G1083" s="70"/>
      <c r="H1083" s="59"/>
      <c r="I1083" s="24"/>
      <c r="J1083" s="62"/>
      <c r="K1083" s="65"/>
      <c r="L1083" s="17"/>
      <c r="M1083" s="54"/>
      <c r="N1083" s="44"/>
      <c r="O1083" s="45"/>
      <c r="P1083" s="38"/>
      <c r="Q1083" s="45"/>
      <c r="R1083" s="38"/>
      <c r="S1083" s="39"/>
      <c r="T1083" s="32"/>
      <c r="U1083" s="78"/>
      <c r="V1083" s="81"/>
      <c r="W1083" s="81"/>
      <c r="X1083" s="81"/>
      <c r="Y1083" s="84"/>
      <c r="Z1083" s="34"/>
      <c r="AA1083" s="29"/>
      <c r="AB1083" s="29"/>
      <c r="AC1083" s="97"/>
      <c r="AD1083" s="100"/>
      <c r="AE1083" s="102"/>
    </row>
    <row r="1084" spans="1:31" ht="17.100000000000001" customHeight="1" x14ac:dyDescent="0.25">
      <c r="A1084" s="51"/>
      <c r="B1084" s="66"/>
      <c r="C1084" s="68"/>
      <c r="D1084" s="69"/>
      <c r="E1084" s="70"/>
      <c r="F1084" s="68"/>
      <c r="G1084" s="70"/>
      <c r="H1084" s="59"/>
      <c r="I1084" s="27"/>
      <c r="J1084" s="63"/>
      <c r="K1084" s="71"/>
      <c r="L1084" s="18"/>
      <c r="M1084" s="66"/>
      <c r="N1084" s="46"/>
      <c r="O1084" s="47"/>
      <c r="P1084" s="40"/>
      <c r="Q1084" s="47"/>
      <c r="R1084" s="40"/>
      <c r="S1084" s="41"/>
      <c r="T1084" s="31">
        <f>(P1085-P1082)+(R1082-R1085)</f>
        <v>0</v>
      </c>
      <c r="U1084" s="78"/>
      <c r="V1084" s="81"/>
      <c r="W1084" s="81"/>
      <c r="X1084" s="81"/>
      <c r="Y1084" s="84"/>
      <c r="Z1084" s="87"/>
      <c r="AA1084" s="49"/>
      <c r="AB1084" s="49"/>
      <c r="AC1084" s="98"/>
      <c r="AD1084" s="104"/>
      <c r="AE1084" s="102"/>
    </row>
    <row r="1085" spans="1:31" ht="17.100000000000001" customHeight="1" x14ac:dyDescent="0.25">
      <c r="A1085" s="51"/>
      <c r="B1085" s="54"/>
      <c r="C1085" s="68"/>
      <c r="D1085" s="69"/>
      <c r="E1085" s="70"/>
      <c r="F1085" s="68"/>
      <c r="G1085" s="70"/>
      <c r="H1085" s="59"/>
      <c r="I1085" s="23"/>
      <c r="J1085" s="88"/>
      <c r="K1085" s="65"/>
      <c r="L1085" s="18"/>
      <c r="M1085" s="54"/>
      <c r="N1085" s="90">
        <f>(P1082-N1082)+(P1085-P1082)+(R1082-R1085)</f>
        <v>0</v>
      </c>
      <c r="O1085" s="91"/>
      <c r="P1085" s="90"/>
      <c r="Q1085" s="91"/>
      <c r="R1085" s="90"/>
      <c r="S1085" s="94"/>
      <c r="T1085" s="32"/>
      <c r="U1085" s="78"/>
      <c r="V1085" s="81"/>
      <c r="W1085" s="81"/>
      <c r="X1085" s="81"/>
      <c r="Y1085" s="84"/>
      <c r="Z1085" s="34"/>
      <c r="AA1085" s="28"/>
      <c r="AB1085" s="28"/>
      <c r="AC1085" s="97"/>
      <c r="AD1085" s="100"/>
      <c r="AE1085" s="102"/>
    </row>
    <row r="1086" spans="1:31" ht="17.100000000000001" customHeight="1" x14ac:dyDescent="0.25">
      <c r="A1086" s="51"/>
      <c r="B1086" s="66"/>
      <c r="C1086" s="68"/>
      <c r="D1086" s="69"/>
      <c r="E1086" s="70"/>
      <c r="F1086" s="68"/>
      <c r="G1086" s="70"/>
      <c r="H1086" s="59"/>
      <c r="I1086" s="24"/>
      <c r="J1086" s="62"/>
      <c r="K1086" s="71" t="s">
        <v>51</v>
      </c>
      <c r="L1086" s="16" t="s">
        <v>51</v>
      </c>
      <c r="M1086" s="66" t="s">
        <v>51</v>
      </c>
      <c r="N1086" s="38"/>
      <c r="O1086" s="45"/>
      <c r="P1086" s="38"/>
      <c r="Q1086" s="45"/>
      <c r="R1086" s="38"/>
      <c r="S1086" s="39"/>
      <c r="T1086" s="31">
        <f t="shared" ref="T1086" si="337">R1085-P1085</f>
        <v>0</v>
      </c>
      <c r="U1086" s="78"/>
      <c r="V1086" s="81"/>
      <c r="W1086" s="81"/>
      <c r="X1086" s="81"/>
      <c r="Y1086" s="84"/>
      <c r="Z1086" s="34"/>
      <c r="AA1086" s="29"/>
      <c r="AB1086" s="29"/>
      <c r="AC1086" s="97"/>
      <c r="AD1086" s="104"/>
      <c r="AE1086" s="102"/>
    </row>
    <row r="1087" spans="1:31" ht="17.100000000000001" customHeight="1" thickBot="1" x14ac:dyDescent="0.3">
      <c r="A1087" s="52"/>
      <c r="B1087" s="67"/>
      <c r="C1087" s="73"/>
      <c r="D1087" s="74"/>
      <c r="E1087" s="75"/>
      <c r="F1087" s="73"/>
      <c r="G1087" s="75"/>
      <c r="H1087" s="60"/>
      <c r="I1087" s="25"/>
      <c r="J1087" s="89"/>
      <c r="K1087" s="72"/>
      <c r="L1087" s="19" t="s">
        <v>52</v>
      </c>
      <c r="M1087" s="67"/>
      <c r="N1087" s="92"/>
      <c r="O1087" s="93"/>
      <c r="P1087" s="92"/>
      <c r="Q1087" s="93"/>
      <c r="R1087" s="92"/>
      <c r="S1087" s="95"/>
      <c r="T1087" s="33"/>
      <c r="U1087" s="79"/>
      <c r="V1087" s="82"/>
      <c r="W1087" s="82"/>
      <c r="X1087" s="82"/>
      <c r="Y1087" s="85"/>
      <c r="Z1087" s="35"/>
      <c r="AA1087" s="30"/>
      <c r="AB1087" s="30"/>
      <c r="AC1087" s="105"/>
      <c r="AD1087" s="106"/>
      <c r="AE1087" s="103"/>
    </row>
    <row r="1089" spans="1:31" ht="17.100000000000001" customHeight="1" thickBot="1" x14ac:dyDescent="0.3"/>
    <row r="1090" spans="1:31" ht="17.100000000000001" customHeight="1" x14ac:dyDescent="0.25">
      <c r="A1090" s="50">
        <v>46023</v>
      </c>
      <c r="B1090" s="53"/>
      <c r="C1090" s="55"/>
      <c r="D1090" s="56"/>
      <c r="E1090" s="57"/>
      <c r="F1090" s="55"/>
      <c r="G1090" s="57"/>
      <c r="H1090" s="58"/>
      <c r="I1090" s="26"/>
      <c r="J1090" s="61"/>
      <c r="K1090" s="64"/>
      <c r="L1090" s="11"/>
      <c r="M1090" s="53"/>
      <c r="N1090" s="42"/>
      <c r="O1090" s="43"/>
      <c r="P1090" s="36"/>
      <c r="Q1090" s="43"/>
      <c r="R1090" s="36"/>
      <c r="S1090" s="37"/>
      <c r="T1090" s="76">
        <f t="shared" ref="T1090" si="338">R1090-P1090</f>
        <v>0</v>
      </c>
      <c r="U1090" s="77"/>
      <c r="V1090" s="80"/>
      <c r="W1090" s="80"/>
      <c r="X1090" s="80"/>
      <c r="Y1090" s="83"/>
      <c r="Z1090" s="86"/>
      <c r="AA1090" s="48"/>
      <c r="AB1090" s="48"/>
      <c r="AC1090" s="96"/>
      <c r="AD1090" s="99"/>
      <c r="AE1090" s="101"/>
    </row>
    <row r="1091" spans="1:31" ht="17.100000000000001" customHeight="1" x14ac:dyDescent="0.25">
      <c r="A1091" s="51"/>
      <c r="B1091" s="54"/>
      <c r="C1091" s="68"/>
      <c r="D1091" s="69"/>
      <c r="E1091" s="70"/>
      <c r="F1091" s="68"/>
      <c r="G1091" s="70"/>
      <c r="H1091" s="59"/>
      <c r="I1091" s="24"/>
      <c r="J1091" s="62"/>
      <c r="K1091" s="65"/>
      <c r="L1091" s="17"/>
      <c r="M1091" s="54"/>
      <c r="N1091" s="44"/>
      <c r="O1091" s="45"/>
      <c r="P1091" s="38"/>
      <c r="Q1091" s="45"/>
      <c r="R1091" s="38"/>
      <c r="S1091" s="39"/>
      <c r="T1091" s="32"/>
      <c r="U1091" s="78"/>
      <c r="V1091" s="81"/>
      <c r="W1091" s="81"/>
      <c r="X1091" s="81"/>
      <c r="Y1091" s="84"/>
      <c r="Z1091" s="34"/>
      <c r="AA1091" s="29"/>
      <c r="AB1091" s="29"/>
      <c r="AC1091" s="97"/>
      <c r="AD1091" s="100"/>
      <c r="AE1091" s="102"/>
    </row>
    <row r="1092" spans="1:31" ht="17.100000000000001" customHeight="1" x14ac:dyDescent="0.25">
      <c r="A1092" s="51"/>
      <c r="B1092" s="66"/>
      <c r="C1092" s="68"/>
      <c r="D1092" s="69"/>
      <c r="E1092" s="70"/>
      <c r="F1092" s="68"/>
      <c r="G1092" s="70"/>
      <c r="H1092" s="59"/>
      <c r="I1092" s="27"/>
      <c r="J1092" s="63"/>
      <c r="K1092" s="71"/>
      <c r="L1092" s="18"/>
      <c r="M1092" s="66"/>
      <c r="N1092" s="46"/>
      <c r="O1092" s="47"/>
      <c r="P1092" s="40"/>
      <c r="Q1092" s="47"/>
      <c r="R1092" s="40"/>
      <c r="S1092" s="41"/>
      <c r="T1092" s="31">
        <f>(P1093-P1090)+(R1090-R1093)</f>
        <v>0</v>
      </c>
      <c r="U1092" s="78"/>
      <c r="V1092" s="81"/>
      <c r="W1092" s="81"/>
      <c r="X1092" s="81"/>
      <c r="Y1092" s="84"/>
      <c r="Z1092" s="87"/>
      <c r="AA1092" s="49"/>
      <c r="AB1092" s="49"/>
      <c r="AC1092" s="98"/>
      <c r="AD1092" s="104"/>
      <c r="AE1092" s="102"/>
    </row>
    <row r="1093" spans="1:31" ht="17.100000000000001" customHeight="1" x14ac:dyDescent="0.25">
      <c r="A1093" s="51"/>
      <c r="B1093" s="54"/>
      <c r="C1093" s="68"/>
      <c r="D1093" s="69"/>
      <c r="E1093" s="70"/>
      <c r="F1093" s="68"/>
      <c r="G1093" s="70"/>
      <c r="H1093" s="59"/>
      <c r="I1093" s="23"/>
      <c r="J1093" s="88"/>
      <c r="K1093" s="65"/>
      <c r="L1093" s="18"/>
      <c r="M1093" s="54"/>
      <c r="N1093" s="90">
        <f>(P1090-N1090)+(P1093-P1090)+(R1090-R1093)</f>
        <v>0</v>
      </c>
      <c r="O1093" s="91"/>
      <c r="P1093" s="90"/>
      <c r="Q1093" s="91"/>
      <c r="R1093" s="90"/>
      <c r="S1093" s="94"/>
      <c r="T1093" s="32"/>
      <c r="U1093" s="78"/>
      <c r="V1093" s="81"/>
      <c r="W1093" s="81"/>
      <c r="X1093" s="81"/>
      <c r="Y1093" s="84"/>
      <c r="Z1093" s="34"/>
      <c r="AA1093" s="28"/>
      <c r="AB1093" s="28"/>
      <c r="AC1093" s="97"/>
      <c r="AD1093" s="100"/>
      <c r="AE1093" s="102"/>
    </row>
    <row r="1094" spans="1:31" ht="17.100000000000001" customHeight="1" x14ac:dyDescent="0.25">
      <c r="A1094" s="51"/>
      <c r="B1094" s="66"/>
      <c r="C1094" s="68"/>
      <c r="D1094" s="69"/>
      <c r="E1094" s="70"/>
      <c r="F1094" s="68"/>
      <c r="G1094" s="70"/>
      <c r="H1094" s="59"/>
      <c r="I1094" s="24"/>
      <c r="J1094" s="62"/>
      <c r="K1094" s="71" t="s">
        <v>51</v>
      </c>
      <c r="L1094" s="16" t="s">
        <v>51</v>
      </c>
      <c r="M1094" s="66" t="s">
        <v>51</v>
      </c>
      <c r="N1094" s="38"/>
      <c r="O1094" s="45"/>
      <c r="P1094" s="38"/>
      <c r="Q1094" s="45"/>
      <c r="R1094" s="38"/>
      <c r="S1094" s="39"/>
      <c r="T1094" s="31">
        <f t="shared" ref="T1094" si="339">R1093-P1093</f>
        <v>0</v>
      </c>
      <c r="U1094" s="78"/>
      <c r="V1094" s="81"/>
      <c r="W1094" s="81"/>
      <c r="X1094" s="81"/>
      <c r="Y1094" s="84"/>
      <c r="Z1094" s="34"/>
      <c r="AA1094" s="29"/>
      <c r="AB1094" s="29"/>
      <c r="AC1094" s="97"/>
      <c r="AD1094" s="104"/>
      <c r="AE1094" s="102"/>
    </row>
    <row r="1095" spans="1:31" ht="17.100000000000001" customHeight="1" thickBot="1" x14ac:dyDescent="0.3">
      <c r="A1095" s="52"/>
      <c r="B1095" s="67"/>
      <c r="C1095" s="73"/>
      <c r="D1095" s="74"/>
      <c r="E1095" s="75"/>
      <c r="F1095" s="73"/>
      <c r="G1095" s="75"/>
      <c r="H1095" s="60"/>
      <c r="I1095" s="25"/>
      <c r="J1095" s="89"/>
      <c r="K1095" s="72"/>
      <c r="L1095" s="19" t="s">
        <v>52</v>
      </c>
      <c r="M1095" s="67"/>
      <c r="N1095" s="92"/>
      <c r="O1095" s="93"/>
      <c r="P1095" s="92"/>
      <c r="Q1095" s="93"/>
      <c r="R1095" s="92"/>
      <c r="S1095" s="95"/>
      <c r="T1095" s="33"/>
      <c r="U1095" s="79"/>
      <c r="V1095" s="82"/>
      <c r="W1095" s="82"/>
      <c r="X1095" s="82"/>
      <c r="Y1095" s="85"/>
      <c r="Z1095" s="35"/>
      <c r="AA1095" s="30"/>
      <c r="AB1095" s="30"/>
      <c r="AC1095" s="105"/>
      <c r="AD1095" s="106"/>
      <c r="AE1095" s="103"/>
    </row>
    <row r="1096" spans="1:31" ht="17.100000000000001" customHeight="1" x14ac:dyDescent="0.25">
      <c r="A1096" s="50">
        <v>46023</v>
      </c>
      <c r="B1096" s="53"/>
      <c r="C1096" s="55"/>
      <c r="D1096" s="56"/>
      <c r="E1096" s="57"/>
      <c r="F1096" s="55"/>
      <c r="G1096" s="57"/>
      <c r="H1096" s="58"/>
      <c r="I1096" s="26"/>
      <c r="J1096" s="61"/>
      <c r="K1096" s="64"/>
      <c r="L1096" s="11"/>
      <c r="M1096" s="53"/>
      <c r="N1096" s="42"/>
      <c r="O1096" s="43"/>
      <c r="P1096" s="36"/>
      <c r="Q1096" s="43"/>
      <c r="R1096" s="36"/>
      <c r="S1096" s="37"/>
      <c r="T1096" s="76">
        <f t="shared" ref="T1096" si="340">R1096-P1096</f>
        <v>0</v>
      </c>
      <c r="U1096" s="77"/>
      <c r="V1096" s="80"/>
      <c r="W1096" s="80"/>
      <c r="X1096" s="80"/>
      <c r="Y1096" s="83"/>
      <c r="Z1096" s="86"/>
      <c r="AA1096" s="48"/>
      <c r="AB1096" s="48"/>
      <c r="AC1096" s="96"/>
      <c r="AD1096" s="99"/>
      <c r="AE1096" s="101"/>
    </row>
    <row r="1097" spans="1:31" ht="17.100000000000001" customHeight="1" x14ac:dyDescent="0.25">
      <c r="A1097" s="51"/>
      <c r="B1097" s="54"/>
      <c r="C1097" s="68"/>
      <c r="D1097" s="69"/>
      <c r="E1097" s="70"/>
      <c r="F1097" s="68"/>
      <c r="G1097" s="70"/>
      <c r="H1097" s="59"/>
      <c r="I1097" s="24"/>
      <c r="J1097" s="62"/>
      <c r="K1097" s="65"/>
      <c r="L1097" s="17"/>
      <c r="M1097" s="54"/>
      <c r="N1097" s="44"/>
      <c r="O1097" s="45"/>
      <c r="P1097" s="38"/>
      <c r="Q1097" s="45"/>
      <c r="R1097" s="38"/>
      <c r="S1097" s="39"/>
      <c r="T1097" s="32"/>
      <c r="U1097" s="78"/>
      <c r="V1097" s="81"/>
      <c r="W1097" s="81"/>
      <c r="X1097" s="81"/>
      <c r="Y1097" s="84"/>
      <c r="Z1097" s="34"/>
      <c r="AA1097" s="29"/>
      <c r="AB1097" s="29"/>
      <c r="AC1097" s="97"/>
      <c r="AD1097" s="100"/>
      <c r="AE1097" s="102"/>
    </row>
    <row r="1098" spans="1:31" ht="17.100000000000001" customHeight="1" x14ac:dyDescent="0.25">
      <c r="A1098" s="51"/>
      <c r="B1098" s="66"/>
      <c r="C1098" s="68"/>
      <c r="D1098" s="69"/>
      <c r="E1098" s="70"/>
      <c r="F1098" s="68"/>
      <c r="G1098" s="70"/>
      <c r="H1098" s="59"/>
      <c r="I1098" s="27"/>
      <c r="J1098" s="63"/>
      <c r="K1098" s="71"/>
      <c r="L1098" s="18"/>
      <c r="M1098" s="66"/>
      <c r="N1098" s="46"/>
      <c r="O1098" s="47"/>
      <c r="P1098" s="40"/>
      <c r="Q1098" s="47"/>
      <c r="R1098" s="40"/>
      <c r="S1098" s="41"/>
      <c r="T1098" s="31">
        <f>(P1099-P1096)+(R1096-R1099)</f>
        <v>0</v>
      </c>
      <c r="U1098" s="78"/>
      <c r="V1098" s="81"/>
      <c r="W1098" s="81"/>
      <c r="X1098" s="81"/>
      <c r="Y1098" s="84"/>
      <c r="Z1098" s="87"/>
      <c r="AA1098" s="49"/>
      <c r="AB1098" s="49"/>
      <c r="AC1098" s="98"/>
      <c r="AD1098" s="104"/>
      <c r="AE1098" s="102"/>
    </row>
    <row r="1099" spans="1:31" ht="17.100000000000001" customHeight="1" x14ac:dyDescent="0.25">
      <c r="A1099" s="51"/>
      <c r="B1099" s="54"/>
      <c r="C1099" s="68"/>
      <c r="D1099" s="69"/>
      <c r="E1099" s="70"/>
      <c r="F1099" s="68"/>
      <c r="G1099" s="70"/>
      <c r="H1099" s="59"/>
      <c r="I1099" s="23"/>
      <c r="J1099" s="88"/>
      <c r="K1099" s="65"/>
      <c r="L1099" s="18"/>
      <c r="M1099" s="54"/>
      <c r="N1099" s="90">
        <f>(P1096-N1096)+(P1099-P1096)+(R1096-R1099)</f>
        <v>0</v>
      </c>
      <c r="O1099" s="91"/>
      <c r="P1099" s="90"/>
      <c r="Q1099" s="91"/>
      <c r="R1099" s="90"/>
      <c r="S1099" s="94"/>
      <c r="T1099" s="32"/>
      <c r="U1099" s="78"/>
      <c r="V1099" s="81"/>
      <c r="W1099" s="81"/>
      <c r="X1099" s="81"/>
      <c r="Y1099" s="84"/>
      <c r="Z1099" s="34"/>
      <c r="AA1099" s="28"/>
      <c r="AB1099" s="28"/>
      <c r="AC1099" s="97"/>
      <c r="AD1099" s="100"/>
      <c r="AE1099" s="102"/>
    </row>
    <row r="1100" spans="1:31" ht="17.100000000000001" customHeight="1" x14ac:dyDescent="0.25">
      <c r="A1100" s="51"/>
      <c r="B1100" s="66"/>
      <c r="C1100" s="68"/>
      <c r="D1100" s="69"/>
      <c r="E1100" s="70"/>
      <c r="F1100" s="68"/>
      <c r="G1100" s="70"/>
      <c r="H1100" s="59"/>
      <c r="I1100" s="24"/>
      <c r="J1100" s="62"/>
      <c r="K1100" s="71" t="s">
        <v>51</v>
      </c>
      <c r="L1100" s="16" t="s">
        <v>51</v>
      </c>
      <c r="M1100" s="66" t="s">
        <v>51</v>
      </c>
      <c r="N1100" s="38"/>
      <c r="O1100" s="45"/>
      <c r="P1100" s="38"/>
      <c r="Q1100" s="45"/>
      <c r="R1100" s="38"/>
      <c r="S1100" s="39"/>
      <c r="T1100" s="31">
        <f t="shared" ref="T1100" si="341">R1099-P1099</f>
        <v>0</v>
      </c>
      <c r="U1100" s="78"/>
      <c r="V1100" s="81"/>
      <c r="W1100" s="81"/>
      <c r="X1100" s="81"/>
      <c r="Y1100" s="84"/>
      <c r="Z1100" s="34"/>
      <c r="AA1100" s="29"/>
      <c r="AB1100" s="29"/>
      <c r="AC1100" s="97"/>
      <c r="AD1100" s="104"/>
      <c r="AE1100" s="102"/>
    </row>
    <row r="1101" spans="1:31" ht="17.100000000000001" customHeight="1" thickBot="1" x14ac:dyDescent="0.3">
      <c r="A1101" s="52"/>
      <c r="B1101" s="67"/>
      <c r="C1101" s="73"/>
      <c r="D1101" s="74"/>
      <c r="E1101" s="75"/>
      <c r="F1101" s="73"/>
      <c r="G1101" s="75"/>
      <c r="H1101" s="60"/>
      <c r="I1101" s="25"/>
      <c r="J1101" s="89"/>
      <c r="K1101" s="72"/>
      <c r="L1101" s="19" t="s">
        <v>52</v>
      </c>
      <c r="M1101" s="67"/>
      <c r="N1101" s="92"/>
      <c r="O1101" s="93"/>
      <c r="P1101" s="92"/>
      <c r="Q1101" s="93"/>
      <c r="R1101" s="92"/>
      <c r="S1101" s="95"/>
      <c r="T1101" s="33"/>
      <c r="U1101" s="79"/>
      <c r="V1101" s="82"/>
      <c r="W1101" s="82"/>
      <c r="X1101" s="82"/>
      <c r="Y1101" s="85"/>
      <c r="Z1101" s="35"/>
      <c r="AA1101" s="30"/>
      <c r="AB1101" s="30"/>
      <c r="AC1101" s="105"/>
      <c r="AD1101" s="106"/>
      <c r="AE1101" s="103"/>
    </row>
    <row r="1102" spans="1:31" ht="17.100000000000001" customHeight="1" x14ac:dyDescent="0.25">
      <c r="A1102" s="50">
        <v>46023</v>
      </c>
      <c r="B1102" s="53"/>
      <c r="C1102" s="55"/>
      <c r="D1102" s="56"/>
      <c r="E1102" s="57"/>
      <c r="F1102" s="55"/>
      <c r="G1102" s="57"/>
      <c r="H1102" s="58"/>
      <c r="I1102" s="26"/>
      <c r="J1102" s="61"/>
      <c r="K1102" s="64"/>
      <c r="L1102" s="11"/>
      <c r="M1102" s="53"/>
      <c r="N1102" s="42"/>
      <c r="O1102" s="43"/>
      <c r="P1102" s="36"/>
      <c r="Q1102" s="43"/>
      <c r="R1102" s="36"/>
      <c r="S1102" s="37"/>
      <c r="T1102" s="76">
        <f t="shared" ref="T1102" si="342">R1102-P1102</f>
        <v>0</v>
      </c>
      <c r="U1102" s="77"/>
      <c r="V1102" s="80"/>
      <c r="W1102" s="80"/>
      <c r="X1102" s="80"/>
      <c r="Y1102" s="83"/>
      <c r="Z1102" s="86"/>
      <c r="AA1102" s="48"/>
      <c r="AB1102" s="48"/>
      <c r="AC1102" s="96"/>
      <c r="AD1102" s="99"/>
      <c r="AE1102" s="101"/>
    </row>
    <row r="1103" spans="1:31" ht="17.100000000000001" customHeight="1" x14ac:dyDescent="0.25">
      <c r="A1103" s="51"/>
      <c r="B1103" s="54"/>
      <c r="C1103" s="68"/>
      <c r="D1103" s="69"/>
      <c r="E1103" s="70"/>
      <c r="F1103" s="68"/>
      <c r="G1103" s="70"/>
      <c r="H1103" s="59"/>
      <c r="I1103" s="24"/>
      <c r="J1103" s="62"/>
      <c r="K1103" s="65"/>
      <c r="L1103" s="17"/>
      <c r="M1103" s="54"/>
      <c r="N1103" s="44"/>
      <c r="O1103" s="45"/>
      <c r="P1103" s="38"/>
      <c r="Q1103" s="45"/>
      <c r="R1103" s="38"/>
      <c r="S1103" s="39"/>
      <c r="T1103" s="32"/>
      <c r="U1103" s="78"/>
      <c r="V1103" s="81"/>
      <c r="W1103" s="81"/>
      <c r="X1103" s="81"/>
      <c r="Y1103" s="84"/>
      <c r="Z1103" s="34"/>
      <c r="AA1103" s="29"/>
      <c r="AB1103" s="29"/>
      <c r="AC1103" s="97"/>
      <c r="AD1103" s="100"/>
      <c r="AE1103" s="102"/>
    </row>
    <row r="1104" spans="1:31" ht="17.100000000000001" customHeight="1" x14ac:dyDescent="0.25">
      <c r="A1104" s="51"/>
      <c r="B1104" s="66"/>
      <c r="C1104" s="68"/>
      <c r="D1104" s="69"/>
      <c r="E1104" s="70"/>
      <c r="F1104" s="68"/>
      <c r="G1104" s="70"/>
      <c r="H1104" s="59"/>
      <c r="I1104" s="27"/>
      <c r="J1104" s="63"/>
      <c r="K1104" s="71"/>
      <c r="L1104" s="18"/>
      <c r="M1104" s="66"/>
      <c r="N1104" s="46"/>
      <c r="O1104" s="47"/>
      <c r="P1104" s="40"/>
      <c r="Q1104" s="47"/>
      <c r="R1104" s="40"/>
      <c r="S1104" s="41"/>
      <c r="T1104" s="31">
        <f>(P1105-P1102)+(R1102-R1105)</f>
        <v>0</v>
      </c>
      <c r="U1104" s="78"/>
      <c r="V1104" s="81"/>
      <c r="W1104" s="81"/>
      <c r="X1104" s="81"/>
      <c r="Y1104" s="84"/>
      <c r="Z1104" s="87"/>
      <c r="AA1104" s="49"/>
      <c r="AB1104" s="49"/>
      <c r="AC1104" s="98"/>
      <c r="AD1104" s="104"/>
      <c r="AE1104" s="102"/>
    </row>
    <row r="1105" spans="1:31" ht="17.100000000000001" customHeight="1" x14ac:dyDescent="0.25">
      <c r="A1105" s="51"/>
      <c r="B1105" s="54"/>
      <c r="C1105" s="68"/>
      <c r="D1105" s="69"/>
      <c r="E1105" s="70"/>
      <c r="F1105" s="68"/>
      <c r="G1105" s="70"/>
      <c r="H1105" s="59"/>
      <c r="I1105" s="23"/>
      <c r="J1105" s="88"/>
      <c r="K1105" s="65"/>
      <c r="L1105" s="18"/>
      <c r="M1105" s="54"/>
      <c r="N1105" s="90">
        <f>(P1102-N1102)+(P1105-P1102)+(R1102-R1105)</f>
        <v>0</v>
      </c>
      <c r="O1105" s="91"/>
      <c r="P1105" s="90"/>
      <c r="Q1105" s="91"/>
      <c r="R1105" s="90"/>
      <c r="S1105" s="94"/>
      <c r="T1105" s="32"/>
      <c r="U1105" s="78"/>
      <c r="V1105" s="81"/>
      <c r="W1105" s="81"/>
      <c r="X1105" s="81"/>
      <c r="Y1105" s="84"/>
      <c r="Z1105" s="34"/>
      <c r="AA1105" s="28"/>
      <c r="AB1105" s="28"/>
      <c r="AC1105" s="97"/>
      <c r="AD1105" s="100"/>
      <c r="AE1105" s="102"/>
    </row>
    <row r="1106" spans="1:31" ht="17.100000000000001" customHeight="1" x14ac:dyDescent="0.25">
      <c r="A1106" s="51"/>
      <c r="B1106" s="66"/>
      <c r="C1106" s="68"/>
      <c r="D1106" s="69"/>
      <c r="E1106" s="70"/>
      <c r="F1106" s="68"/>
      <c r="G1106" s="70"/>
      <c r="H1106" s="59"/>
      <c r="I1106" s="24"/>
      <c r="J1106" s="62"/>
      <c r="K1106" s="71" t="s">
        <v>51</v>
      </c>
      <c r="L1106" s="16" t="s">
        <v>51</v>
      </c>
      <c r="M1106" s="66" t="s">
        <v>51</v>
      </c>
      <c r="N1106" s="38"/>
      <c r="O1106" s="45"/>
      <c r="P1106" s="38"/>
      <c r="Q1106" s="45"/>
      <c r="R1106" s="38"/>
      <c r="S1106" s="39"/>
      <c r="T1106" s="31">
        <f t="shared" ref="T1106" si="343">R1105-P1105</f>
        <v>0</v>
      </c>
      <c r="U1106" s="78"/>
      <c r="V1106" s="81"/>
      <c r="W1106" s="81"/>
      <c r="X1106" s="81"/>
      <c r="Y1106" s="84"/>
      <c r="Z1106" s="34"/>
      <c r="AA1106" s="29"/>
      <c r="AB1106" s="29"/>
      <c r="AC1106" s="97"/>
      <c r="AD1106" s="104"/>
      <c r="AE1106" s="102"/>
    </row>
    <row r="1107" spans="1:31" ht="17.100000000000001" customHeight="1" thickBot="1" x14ac:dyDescent="0.3">
      <c r="A1107" s="52"/>
      <c r="B1107" s="67"/>
      <c r="C1107" s="73"/>
      <c r="D1107" s="74"/>
      <c r="E1107" s="75"/>
      <c r="F1107" s="73"/>
      <c r="G1107" s="75"/>
      <c r="H1107" s="60"/>
      <c r="I1107" s="25"/>
      <c r="J1107" s="89"/>
      <c r="K1107" s="72"/>
      <c r="L1107" s="19" t="s">
        <v>52</v>
      </c>
      <c r="M1107" s="67"/>
      <c r="N1107" s="92"/>
      <c r="O1107" s="93"/>
      <c r="P1107" s="92"/>
      <c r="Q1107" s="93"/>
      <c r="R1107" s="92"/>
      <c r="S1107" s="95"/>
      <c r="T1107" s="33"/>
      <c r="U1107" s="79"/>
      <c r="V1107" s="82"/>
      <c r="W1107" s="82"/>
      <c r="X1107" s="82"/>
      <c r="Y1107" s="85"/>
      <c r="Z1107" s="35"/>
      <c r="AA1107" s="30"/>
      <c r="AB1107" s="30"/>
      <c r="AC1107" s="105"/>
      <c r="AD1107" s="106"/>
      <c r="AE1107" s="103"/>
    </row>
    <row r="1108" spans="1:31" ht="17.100000000000001" customHeight="1" x14ac:dyDescent="0.25">
      <c r="A1108" s="50">
        <v>46023</v>
      </c>
      <c r="B1108" s="53"/>
      <c r="C1108" s="55"/>
      <c r="D1108" s="56"/>
      <c r="E1108" s="57"/>
      <c r="F1108" s="55"/>
      <c r="G1108" s="57"/>
      <c r="H1108" s="58"/>
      <c r="I1108" s="26"/>
      <c r="J1108" s="61"/>
      <c r="K1108" s="64"/>
      <c r="L1108" s="11"/>
      <c r="M1108" s="53"/>
      <c r="N1108" s="42"/>
      <c r="O1108" s="43"/>
      <c r="P1108" s="36"/>
      <c r="Q1108" s="43"/>
      <c r="R1108" s="36"/>
      <c r="S1108" s="37"/>
      <c r="T1108" s="76">
        <f t="shared" ref="T1108" si="344">R1108-P1108</f>
        <v>0</v>
      </c>
      <c r="U1108" s="77"/>
      <c r="V1108" s="80"/>
      <c r="W1108" s="80"/>
      <c r="X1108" s="80"/>
      <c r="Y1108" s="83"/>
      <c r="Z1108" s="86"/>
      <c r="AA1108" s="48"/>
      <c r="AB1108" s="48"/>
      <c r="AC1108" s="96"/>
      <c r="AD1108" s="99"/>
      <c r="AE1108" s="101"/>
    </row>
    <row r="1109" spans="1:31" ht="17.100000000000001" customHeight="1" x14ac:dyDescent="0.25">
      <c r="A1109" s="51"/>
      <c r="B1109" s="54"/>
      <c r="C1109" s="68"/>
      <c r="D1109" s="69"/>
      <c r="E1109" s="70"/>
      <c r="F1109" s="68"/>
      <c r="G1109" s="70"/>
      <c r="H1109" s="59"/>
      <c r="I1109" s="24"/>
      <c r="J1109" s="62"/>
      <c r="K1109" s="65"/>
      <c r="L1109" s="17"/>
      <c r="M1109" s="54"/>
      <c r="N1109" s="44"/>
      <c r="O1109" s="45"/>
      <c r="P1109" s="38"/>
      <c r="Q1109" s="45"/>
      <c r="R1109" s="38"/>
      <c r="S1109" s="39"/>
      <c r="T1109" s="32"/>
      <c r="U1109" s="78"/>
      <c r="V1109" s="81"/>
      <c r="W1109" s="81"/>
      <c r="X1109" s="81"/>
      <c r="Y1109" s="84"/>
      <c r="Z1109" s="34"/>
      <c r="AA1109" s="29"/>
      <c r="AB1109" s="29"/>
      <c r="AC1109" s="97"/>
      <c r="AD1109" s="100"/>
      <c r="AE1109" s="102"/>
    </row>
    <row r="1110" spans="1:31" ht="17.100000000000001" customHeight="1" x14ac:dyDescent="0.25">
      <c r="A1110" s="51"/>
      <c r="B1110" s="66"/>
      <c r="C1110" s="68"/>
      <c r="D1110" s="69"/>
      <c r="E1110" s="70"/>
      <c r="F1110" s="68"/>
      <c r="G1110" s="70"/>
      <c r="H1110" s="59"/>
      <c r="I1110" s="27"/>
      <c r="J1110" s="63"/>
      <c r="K1110" s="71"/>
      <c r="L1110" s="18"/>
      <c r="M1110" s="66"/>
      <c r="N1110" s="46"/>
      <c r="O1110" s="47"/>
      <c r="P1110" s="40"/>
      <c r="Q1110" s="47"/>
      <c r="R1110" s="40"/>
      <c r="S1110" s="41"/>
      <c r="T1110" s="31">
        <f>(P1111-P1108)+(R1108-R1111)</f>
        <v>0</v>
      </c>
      <c r="U1110" s="78"/>
      <c r="V1110" s="81"/>
      <c r="W1110" s="81"/>
      <c r="X1110" s="81"/>
      <c r="Y1110" s="84"/>
      <c r="Z1110" s="87"/>
      <c r="AA1110" s="49"/>
      <c r="AB1110" s="49"/>
      <c r="AC1110" s="98"/>
      <c r="AD1110" s="104"/>
      <c r="AE1110" s="102"/>
    </row>
    <row r="1111" spans="1:31" ht="17.100000000000001" customHeight="1" x14ac:dyDescent="0.25">
      <c r="A1111" s="51"/>
      <c r="B1111" s="54"/>
      <c r="C1111" s="68"/>
      <c r="D1111" s="69"/>
      <c r="E1111" s="70"/>
      <c r="F1111" s="68"/>
      <c r="G1111" s="70"/>
      <c r="H1111" s="59"/>
      <c r="I1111" s="23"/>
      <c r="J1111" s="88"/>
      <c r="K1111" s="65"/>
      <c r="L1111" s="18"/>
      <c r="M1111" s="54"/>
      <c r="N1111" s="90">
        <f>(P1108-N1108)+(P1111-P1108)+(R1108-R1111)</f>
        <v>0</v>
      </c>
      <c r="O1111" s="91"/>
      <c r="P1111" s="90"/>
      <c r="Q1111" s="91"/>
      <c r="R1111" s="90"/>
      <c r="S1111" s="94"/>
      <c r="T1111" s="32"/>
      <c r="U1111" s="78"/>
      <c r="V1111" s="81"/>
      <c r="W1111" s="81"/>
      <c r="X1111" s="81"/>
      <c r="Y1111" s="84"/>
      <c r="Z1111" s="34"/>
      <c r="AA1111" s="28"/>
      <c r="AB1111" s="28"/>
      <c r="AC1111" s="97"/>
      <c r="AD1111" s="100"/>
      <c r="AE1111" s="102"/>
    </row>
    <row r="1112" spans="1:31" ht="17.100000000000001" customHeight="1" x14ac:dyDescent="0.25">
      <c r="A1112" s="51"/>
      <c r="B1112" s="66"/>
      <c r="C1112" s="68"/>
      <c r="D1112" s="69"/>
      <c r="E1112" s="70"/>
      <c r="F1112" s="68"/>
      <c r="G1112" s="70"/>
      <c r="H1112" s="59"/>
      <c r="I1112" s="24"/>
      <c r="J1112" s="62"/>
      <c r="K1112" s="71" t="s">
        <v>51</v>
      </c>
      <c r="L1112" s="16" t="s">
        <v>51</v>
      </c>
      <c r="M1112" s="66" t="s">
        <v>51</v>
      </c>
      <c r="N1112" s="38"/>
      <c r="O1112" s="45"/>
      <c r="P1112" s="38"/>
      <c r="Q1112" s="45"/>
      <c r="R1112" s="38"/>
      <c r="S1112" s="39"/>
      <c r="T1112" s="31">
        <f t="shared" ref="T1112" si="345">R1111-P1111</f>
        <v>0</v>
      </c>
      <c r="U1112" s="78"/>
      <c r="V1112" s="81"/>
      <c r="W1112" s="81"/>
      <c r="X1112" s="81"/>
      <c r="Y1112" s="84"/>
      <c r="Z1112" s="34"/>
      <c r="AA1112" s="29"/>
      <c r="AB1112" s="29"/>
      <c r="AC1112" s="97"/>
      <c r="AD1112" s="104"/>
      <c r="AE1112" s="102"/>
    </row>
    <row r="1113" spans="1:31" ht="17.100000000000001" customHeight="1" thickBot="1" x14ac:dyDescent="0.3">
      <c r="A1113" s="52"/>
      <c r="B1113" s="67"/>
      <c r="C1113" s="73"/>
      <c r="D1113" s="74"/>
      <c r="E1113" s="75"/>
      <c r="F1113" s="73"/>
      <c r="G1113" s="75"/>
      <c r="H1113" s="60"/>
      <c r="I1113" s="25"/>
      <c r="J1113" s="89"/>
      <c r="K1113" s="72"/>
      <c r="L1113" s="19" t="s">
        <v>52</v>
      </c>
      <c r="M1113" s="67"/>
      <c r="N1113" s="92"/>
      <c r="O1113" s="93"/>
      <c r="P1113" s="92"/>
      <c r="Q1113" s="93"/>
      <c r="R1113" s="92"/>
      <c r="S1113" s="95"/>
      <c r="T1113" s="33"/>
      <c r="U1113" s="79"/>
      <c r="V1113" s="82"/>
      <c r="W1113" s="82"/>
      <c r="X1113" s="82"/>
      <c r="Y1113" s="85"/>
      <c r="Z1113" s="35"/>
      <c r="AA1113" s="30"/>
      <c r="AB1113" s="30"/>
      <c r="AC1113" s="105"/>
      <c r="AD1113" s="106"/>
      <c r="AE1113" s="103"/>
    </row>
    <row r="1114" spans="1:31" ht="17.100000000000001" customHeight="1" x14ac:dyDescent="0.25">
      <c r="A1114" s="50">
        <v>46023</v>
      </c>
      <c r="B1114" s="53"/>
      <c r="C1114" s="55"/>
      <c r="D1114" s="56"/>
      <c r="E1114" s="57"/>
      <c r="F1114" s="55"/>
      <c r="G1114" s="57"/>
      <c r="H1114" s="58"/>
      <c r="I1114" s="26"/>
      <c r="J1114" s="61"/>
      <c r="K1114" s="64"/>
      <c r="L1114" s="11"/>
      <c r="M1114" s="53"/>
      <c r="N1114" s="42"/>
      <c r="O1114" s="43"/>
      <c r="P1114" s="36"/>
      <c r="Q1114" s="43"/>
      <c r="R1114" s="36"/>
      <c r="S1114" s="37"/>
      <c r="T1114" s="76">
        <f t="shared" ref="T1114" si="346">R1114-P1114</f>
        <v>0</v>
      </c>
      <c r="U1114" s="77"/>
      <c r="V1114" s="80"/>
      <c r="W1114" s="80"/>
      <c r="X1114" s="80"/>
      <c r="Y1114" s="83"/>
      <c r="Z1114" s="86"/>
      <c r="AA1114" s="48"/>
      <c r="AB1114" s="48"/>
      <c r="AC1114" s="96"/>
      <c r="AD1114" s="99"/>
      <c r="AE1114" s="101"/>
    </row>
    <row r="1115" spans="1:31" ht="17.100000000000001" customHeight="1" x14ac:dyDescent="0.25">
      <c r="A1115" s="51"/>
      <c r="B1115" s="54"/>
      <c r="C1115" s="68"/>
      <c r="D1115" s="69"/>
      <c r="E1115" s="70"/>
      <c r="F1115" s="68"/>
      <c r="G1115" s="70"/>
      <c r="H1115" s="59"/>
      <c r="I1115" s="24"/>
      <c r="J1115" s="62"/>
      <c r="K1115" s="65"/>
      <c r="L1115" s="17"/>
      <c r="M1115" s="54"/>
      <c r="N1115" s="44"/>
      <c r="O1115" s="45"/>
      <c r="P1115" s="38"/>
      <c r="Q1115" s="45"/>
      <c r="R1115" s="38"/>
      <c r="S1115" s="39"/>
      <c r="T1115" s="32"/>
      <c r="U1115" s="78"/>
      <c r="V1115" s="81"/>
      <c r="W1115" s="81"/>
      <c r="X1115" s="81"/>
      <c r="Y1115" s="84"/>
      <c r="Z1115" s="34"/>
      <c r="AA1115" s="29"/>
      <c r="AB1115" s="29"/>
      <c r="AC1115" s="97"/>
      <c r="AD1115" s="100"/>
      <c r="AE1115" s="102"/>
    </row>
    <row r="1116" spans="1:31" ht="17.100000000000001" customHeight="1" x14ac:dyDescent="0.25">
      <c r="A1116" s="51"/>
      <c r="B1116" s="66"/>
      <c r="C1116" s="68"/>
      <c r="D1116" s="69"/>
      <c r="E1116" s="70"/>
      <c r="F1116" s="68"/>
      <c r="G1116" s="70"/>
      <c r="H1116" s="59"/>
      <c r="I1116" s="27"/>
      <c r="J1116" s="63"/>
      <c r="K1116" s="71"/>
      <c r="L1116" s="18"/>
      <c r="M1116" s="66"/>
      <c r="N1116" s="46"/>
      <c r="O1116" s="47"/>
      <c r="P1116" s="40"/>
      <c r="Q1116" s="47"/>
      <c r="R1116" s="40"/>
      <c r="S1116" s="41"/>
      <c r="T1116" s="31">
        <f>(P1117-P1114)+(R1114-R1117)</f>
        <v>0</v>
      </c>
      <c r="U1116" s="78"/>
      <c r="V1116" s="81"/>
      <c r="W1116" s="81"/>
      <c r="X1116" s="81"/>
      <c r="Y1116" s="84"/>
      <c r="Z1116" s="87"/>
      <c r="AA1116" s="49"/>
      <c r="AB1116" s="49"/>
      <c r="AC1116" s="98"/>
      <c r="AD1116" s="104"/>
      <c r="AE1116" s="102"/>
    </row>
    <row r="1117" spans="1:31" ht="17.100000000000001" customHeight="1" x14ac:dyDescent="0.25">
      <c r="A1117" s="51"/>
      <c r="B1117" s="54"/>
      <c r="C1117" s="68"/>
      <c r="D1117" s="69"/>
      <c r="E1117" s="70"/>
      <c r="F1117" s="68"/>
      <c r="G1117" s="70"/>
      <c r="H1117" s="59"/>
      <c r="I1117" s="23"/>
      <c r="J1117" s="88"/>
      <c r="K1117" s="65"/>
      <c r="L1117" s="18"/>
      <c r="M1117" s="54"/>
      <c r="N1117" s="90">
        <f>(P1114-N1114)+(P1117-P1114)+(R1114-R1117)</f>
        <v>0</v>
      </c>
      <c r="O1117" s="91"/>
      <c r="P1117" s="90"/>
      <c r="Q1117" s="91"/>
      <c r="R1117" s="90"/>
      <c r="S1117" s="94"/>
      <c r="T1117" s="32"/>
      <c r="U1117" s="78"/>
      <c r="V1117" s="81"/>
      <c r="W1117" s="81"/>
      <c r="X1117" s="81"/>
      <c r="Y1117" s="84"/>
      <c r="Z1117" s="34"/>
      <c r="AA1117" s="28"/>
      <c r="AB1117" s="28"/>
      <c r="AC1117" s="97"/>
      <c r="AD1117" s="100"/>
      <c r="AE1117" s="102"/>
    </row>
    <row r="1118" spans="1:31" ht="17.100000000000001" customHeight="1" x14ac:dyDescent="0.25">
      <c r="A1118" s="51"/>
      <c r="B1118" s="66"/>
      <c r="C1118" s="68"/>
      <c r="D1118" s="69"/>
      <c r="E1118" s="70"/>
      <c r="F1118" s="68"/>
      <c r="G1118" s="70"/>
      <c r="H1118" s="59"/>
      <c r="I1118" s="24"/>
      <c r="J1118" s="62"/>
      <c r="K1118" s="71" t="s">
        <v>51</v>
      </c>
      <c r="L1118" s="16" t="s">
        <v>51</v>
      </c>
      <c r="M1118" s="66" t="s">
        <v>51</v>
      </c>
      <c r="N1118" s="38"/>
      <c r="O1118" s="45"/>
      <c r="P1118" s="38"/>
      <c r="Q1118" s="45"/>
      <c r="R1118" s="38"/>
      <c r="S1118" s="39"/>
      <c r="T1118" s="31">
        <f t="shared" ref="T1118" si="347">R1117-P1117</f>
        <v>0</v>
      </c>
      <c r="U1118" s="78"/>
      <c r="V1118" s="81"/>
      <c r="W1118" s="81"/>
      <c r="X1118" s="81"/>
      <c r="Y1118" s="84"/>
      <c r="Z1118" s="34"/>
      <c r="AA1118" s="29"/>
      <c r="AB1118" s="29"/>
      <c r="AC1118" s="97"/>
      <c r="AD1118" s="104"/>
      <c r="AE1118" s="102"/>
    </row>
    <row r="1119" spans="1:31" ht="17.100000000000001" customHeight="1" thickBot="1" x14ac:dyDescent="0.3">
      <c r="A1119" s="52"/>
      <c r="B1119" s="67"/>
      <c r="C1119" s="73"/>
      <c r="D1119" s="74"/>
      <c r="E1119" s="75"/>
      <c r="F1119" s="73"/>
      <c r="G1119" s="75"/>
      <c r="H1119" s="60"/>
      <c r="I1119" s="25"/>
      <c r="J1119" s="89"/>
      <c r="K1119" s="72"/>
      <c r="L1119" s="19" t="s">
        <v>52</v>
      </c>
      <c r="M1119" s="67"/>
      <c r="N1119" s="92"/>
      <c r="O1119" s="93"/>
      <c r="P1119" s="92"/>
      <c r="Q1119" s="93"/>
      <c r="R1119" s="92"/>
      <c r="S1119" s="95"/>
      <c r="T1119" s="33"/>
      <c r="U1119" s="79"/>
      <c r="V1119" s="82"/>
      <c r="W1119" s="82"/>
      <c r="X1119" s="82"/>
      <c r="Y1119" s="85"/>
      <c r="Z1119" s="35"/>
      <c r="AA1119" s="30"/>
      <c r="AB1119" s="30"/>
      <c r="AC1119" s="105"/>
      <c r="AD1119" s="106"/>
      <c r="AE1119" s="103"/>
    </row>
    <row r="1121" spans="1:31" ht="17.100000000000001" customHeight="1" thickBot="1" x14ac:dyDescent="0.3"/>
    <row r="1122" spans="1:31" ht="17.100000000000001" customHeight="1" x14ac:dyDescent="0.25">
      <c r="A1122" s="50">
        <v>46023</v>
      </c>
      <c r="B1122" s="53"/>
      <c r="C1122" s="55"/>
      <c r="D1122" s="56"/>
      <c r="E1122" s="57"/>
      <c r="F1122" s="55"/>
      <c r="G1122" s="57"/>
      <c r="H1122" s="58"/>
      <c r="I1122" s="26"/>
      <c r="J1122" s="61"/>
      <c r="K1122" s="64"/>
      <c r="L1122" s="11"/>
      <c r="M1122" s="53"/>
      <c r="N1122" s="42"/>
      <c r="O1122" s="43"/>
      <c r="P1122" s="36"/>
      <c r="Q1122" s="43"/>
      <c r="R1122" s="36"/>
      <c r="S1122" s="37"/>
      <c r="T1122" s="76">
        <f t="shared" ref="T1122" si="348">R1122-P1122</f>
        <v>0</v>
      </c>
      <c r="U1122" s="77"/>
      <c r="V1122" s="80"/>
      <c r="W1122" s="80"/>
      <c r="X1122" s="80"/>
      <c r="Y1122" s="83"/>
      <c r="Z1122" s="86"/>
      <c r="AA1122" s="48"/>
      <c r="AB1122" s="48"/>
      <c r="AC1122" s="96"/>
      <c r="AD1122" s="99"/>
      <c r="AE1122" s="101"/>
    </row>
    <row r="1123" spans="1:31" ht="17.100000000000001" customHeight="1" x14ac:dyDescent="0.25">
      <c r="A1123" s="51"/>
      <c r="B1123" s="54"/>
      <c r="C1123" s="68"/>
      <c r="D1123" s="69"/>
      <c r="E1123" s="70"/>
      <c r="F1123" s="68"/>
      <c r="G1123" s="70"/>
      <c r="H1123" s="59"/>
      <c r="I1123" s="24"/>
      <c r="J1123" s="62"/>
      <c r="K1123" s="65"/>
      <c r="L1123" s="17"/>
      <c r="M1123" s="54"/>
      <c r="N1123" s="44"/>
      <c r="O1123" s="45"/>
      <c r="P1123" s="38"/>
      <c r="Q1123" s="45"/>
      <c r="R1123" s="38"/>
      <c r="S1123" s="39"/>
      <c r="T1123" s="32"/>
      <c r="U1123" s="78"/>
      <c r="V1123" s="81"/>
      <c r="W1123" s="81"/>
      <c r="X1123" s="81"/>
      <c r="Y1123" s="84"/>
      <c r="Z1123" s="34"/>
      <c r="AA1123" s="29"/>
      <c r="AB1123" s="29"/>
      <c r="AC1123" s="97"/>
      <c r="AD1123" s="100"/>
      <c r="AE1123" s="102"/>
    </row>
    <row r="1124" spans="1:31" ht="17.100000000000001" customHeight="1" x14ac:dyDescent="0.25">
      <c r="A1124" s="51"/>
      <c r="B1124" s="66"/>
      <c r="C1124" s="68"/>
      <c r="D1124" s="69"/>
      <c r="E1124" s="70"/>
      <c r="F1124" s="68"/>
      <c r="G1124" s="70"/>
      <c r="H1124" s="59"/>
      <c r="I1124" s="27"/>
      <c r="J1124" s="63"/>
      <c r="K1124" s="71"/>
      <c r="L1124" s="18"/>
      <c r="M1124" s="66"/>
      <c r="N1124" s="46"/>
      <c r="O1124" s="47"/>
      <c r="P1124" s="40"/>
      <c r="Q1124" s="47"/>
      <c r="R1124" s="40"/>
      <c r="S1124" s="41"/>
      <c r="T1124" s="31">
        <f>(P1125-P1122)+(R1122-R1125)</f>
        <v>0</v>
      </c>
      <c r="U1124" s="78"/>
      <c r="V1124" s="81"/>
      <c r="W1124" s="81"/>
      <c r="X1124" s="81"/>
      <c r="Y1124" s="84"/>
      <c r="Z1124" s="87"/>
      <c r="AA1124" s="49"/>
      <c r="AB1124" s="49"/>
      <c r="AC1124" s="98"/>
      <c r="AD1124" s="104"/>
      <c r="AE1124" s="102"/>
    </row>
    <row r="1125" spans="1:31" ht="17.100000000000001" customHeight="1" x14ac:dyDescent="0.25">
      <c r="A1125" s="51"/>
      <c r="B1125" s="54"/>
      <c r="C1125" s="68"/>
      <c r="D1125" s="69"/>
      <c r="E1125" s="70"/>
      <c r="F1125" s="68"/>
      <c r="G1125" s="70"/>
      <c r="H1125" s="59"/>
      <c r="I1125" s="23"/>
      <c r="J1125" s="88"/>
      <c r="K1125" s="65"/>
      <c r="L1125" s="18"/>
      <c r="M1125" s="54"/>
      <c r="N1125" s="90">
        <f>(P1122-N1122)+(P1125-P1122)+(R1122-R1125)</f>
        <v>0</v>
      </c>
      <c r="O1125" s="91"/>
      <c r="P1125" s="90"/>
      <c r="Q1125" s="91"/>
      <c r="R1125" s="90"/>
      <c r="S1125" s="94"/>
      <c r="T1125" s="32"/>
      <c r="U1125" s="78"/>
      <c r="V1125" s="81"/>
      <c r="W1125" s="81"/>
      <c r="X1125" s="81"/>
      <c r="Y1125" s="84"/>
      <c r="Z1125" s="34"/>
      <c r="AA1125" s="28"/>
      <c r="AB1125" s="28"/>
      <c r="AC1125" s="97"/>
      <c r="AD1125" s="100"/>
      <c r="AE1125" s="102"/>
    </row>
    <row r="1126" spans="1:31" ht="17.100000000000001" customHeight="1" x14ac:dyDescent="0.25">
      <c r="A1126" s="51"/>
      <c r="B1126" s="66"/>
      <c r="C1126" s="68"/>
      <c r="D1126" s="69"/>
      <c r="E1126" s="70"/>
      <c r="F1126" s="68"/>
      <c r="G1126" s="70"/>
      <c r="H1126" s="59"/>
      <c r="I1126" s="24"/>
      <c r="J1126" s="62"/>
      <c r="K1126" s="71" t="s">
        <v>51</v>
      </c>
      <c r="L1126" s="16" t="s">
        <v>51</v>
      </c>
      <c r="M1126" s="66" t="s">
        <v>51</v>
      </c>
      <c r="N1126" s="38"/>
      <c r="O1126" s="45"/>
      <c r="P1126" s="38"/>
      <c r="Q1126" s="45"/>
      <c r="R1126" s="38"/>
      <c r="S1126" s="39"/>
      <c r="T1126" s="31">
        <f t="shared" ref="T1126" si="349">R1125-P1125</f>
        <v>0</v>
      </c>
      <c r="U1126" s="78"/>
      <c r="V1126" s="81"/>
      <c r="W1126" s="81"/>
      <c r="X1126" s="81"/>
      <c r="Y1126" s="84"/>
      <c r="Z1126" s="34"/>
      <c r="AA1126" s="29"/>
      <c r="AB1126" s="29"/>
      <c r="AC1126" s="97"/>
      <c r="AD1126" s="104"/>
      <c r="AE1126" s="102"/>
    </row>
    <row r="1127" spans="1:31" ht="17.100000000000001" customHeight="1" thickBot="1" x14ac:dyDescent="0.3">
      <c r="A1127" s="52"/>
      <c r="B1127" s="67"/>
      <c r="C1127" s="73"/>
      <c r="D1127" s="74"/>
      <c r="E1127" s="75"/>
      <c r="F1127" s="73"/>
      <c r="G1127" s="75"/>
      <c r="H1127" s="60"/>
      <c r="I1127" s="25"/>
      <c r="J1127" s="89"/>
      <c r="K1127" s="72"/>
      <c r="L1127" s="19" t="s">
        <v>52</v>
      </c>
      <c r="M1127" s="67"/>
      <c r="N1127" s="92"/>
      <c r="O1127" s="93"/>
      <c r="P1127" s="92"/>
      <c r="Q1127" s="93"/>
      <c r="R1127" s="92"/>
      <c r="S1127" s="95"/>
      <c r="T1127" s="33"/>
      <c r="U1127" s="79"/>
      <c r="V1127" s="82"/>
      <c r="W1127" s="82"/>
      <c r="X1127" s="82"/>
      <c r="Y1127" s="85"/>
      <c r="Z1127" s="35"/>
      <c r="AA1127" s="30"/>
      <c r="AB1127" s="30"/>
      <c r="AC1127" s="105"/>
      <c r="AD1127" s="106"/>
      <c r="AE1127" s="103"/>
    </row>
    <row r="1128" spans="1:31" ht="17.100000000000001" customHeight="1" x14ac:dyDescent="0.25">
      <c r="A1128" s="50">
        <v>46023</v>
      </c>
      <c r="B1128" s="53"/>
      <c r="C1128" s="55"/>
      <c r="D1128" s="56"/>
      <c r="E1128" s="57"/>
      <c r="F1128" s="55"/>
      <c r="G1128" s="57"/>
      <c r="H1128" s="58"/>
      <c r="I1128" s="26"/>
      <c r="J1128" s="61"/>
      <c r="K1128" s="64"/>
      <c r="L1128" s="11"/>
      <c r="M1128" s="53"/>
      <c r="N1128" s="42"/>
      <c r="O1128" s="43"/>
      <c r="P1128" s="36"/>
      <c r="Q1128" s="43"/>
      <c r="R1128" s="36"/>
      <c r="S1128" s="37"/>
      <c r="T1128" s="76">
        <f t="shared" ref="T1128" si="350">R1128-P1128</f>
        <v>0</v>
      </c>
      <c r="U1128" s="77"/>
      <c r="V1128" s="80"/>
      <c r="W1128" s="80"/>
      <c r="X1128" s="80"/>
      <c r="Y1128" s="83"/>
      <c r="Z1128" s="86"/>
      <c r="AA1128" s="48"/>
      <c r="AB1128" s="48"/>
      <c r="AC1128" s="96"/>
      <c r="AD1128" s="99"/>
      <c r="AE1128" s="101"/>
    </row>
    <row r="1129" spans="1:31" ht="17.100000000000001" customHeight="1" x14ac:dyDescent="0.25">
      <c r="A1129" s="51"/>
      <c r="B1129" s="54"/>
      <c r="C1129" s="68"/>
      <c r="D1129" s="69"/>
      <c r="E1129" s="70"/>
      <c r="F1129" s="68"/>
      <c r="G1129" s="70"/>
      <c r="H1129" s="59"/>
      <c r="I1129" s="24"/>
      <c r="J1129" s="62"/>
      <c r="K1129" s="65"/>
      <c r="L1129" s="17"/>
      <c r="M1129" s="54"/>
      <c r="N1129" s="44"/>
      <c r="O1129" s="45"/>
      <c r="P1129" s="38"/>
      <c r="Q1129" s="45"/>
      <c r="R1129" s="38"/>
      <c r="S1129" s="39"/>
      <c r="T1129" s="32"/>
      <c r="U1129" s="78"/>
      <c r="V1129" s="81"/>
      <c r="W1129" s="81"/>
      <c r="X1129" s="81"/>
      <c r="Y1129" s="84"/>
      <c r="Z1129" s="34"/>
      <c r="AA1129" s="29"/>
      <c r="AB1129" s="29"/>
      <c r="AC1129" s="97"/>
      <c r="AD1129" s="100"/>
      <c r="AE1129" s="102"/>
    </row>
    <row r="1130" spans="1:31" ht="17.100000000000001" customHeight="1" x14ac:dyDescent="0.25">
      <c r="A1130" s="51"/>
      <c r="B1130" s="66"/>
      <c r="C1130" s="68"/>
      <c r="D1130" s="69"/>
      <c r="E1130" s="70"/>
      <c r="F1130" s="68"/>
      <c r="G1130" s="70"/>
      <c r="H1130" s="59"/>
      <c r="I1130" s="27"/>
      <c r="J1130" s="63"/>
      <c r="K1130" s="71"/>
      <c r="L1130" s="18"/>
      <c r="M1130" s="66"/>
      <c r="N1130" s="46"/>
      <c r="O1130" s="47"/>
      <c r="P1130" s="40"/>
      <c r="Q1130" s="47"/>
      <c r="R1130" s="40"/>
      <c r="S1130" s="41"/>
      <c r="T1130" s="31">
        <f>(P1131-P1128)+(R1128-R1131)</f>
        <v>0</v>
      </c>
      <c r="U1130" s="78"/>
      <c r="V1130" s="81"/>
      <c r="W1130" s="81"/>
      <c r="X1130" s="81"/>
      <c r="Y1130" s="84"/>
      <c r="Z1130" s="87"/>
      <c r="AA1130" s="49"/>
      <c r="AB1130" s="49"/>
      <c r="AC1130" s="98"/>
      <c r="AD1130" s="104"/>
      <c r="AE1130" s="102"/>
    </row>
    <row r="1131" spans="1:31" ht="17.100000000000001" customHeight="1" x14ac:dyDescent="0.25">
      <c r="A1131" s="51"/>
      <c r="B1131" s="54"/>
      <c r="C1131" s="68"/>
      <c r="D1131" s="69"/>
      <c r="E1131" s="70"/>
      <c r="F1131" s="68"/>
      <c r="G1131" s="70"/>
      <c r="H1131" s="59"/>
      <c r="I1131" s="23"/>
      <c r="J1131" s="88"/>
      <c r="K1131" s="65"/>
      <c r="L1131" s="18"/>
      <c r="M1131" s="54"/>
      <c r="N1131" s="90">
        <f>(P1128-N1128)+(P1131-P1128)+(R1128-R1131)</f>
        <v>0</v>
      </c>
      <c r="O1131" s="91"/>
      <c r="P1131" s="90"/>
      <c r="Q1131" s="91"/>
      <c r="R1131" s="90"/>
      <c r="S1131" s="94"/>
      <c r="T1131" s="32"/>
      <c r="U1131" s="78"/>
      <c r="V1131" s="81"/>
      <c r="W1131" s="81"/>
      <c r="X1131" s="81"/>
      <c r="Y1131" s="84"/>
      <c r="Z1131" s="34"/>
      <c r="AA1131" s="28"/>
      <c r="AB1131" s="28"/>
      <c r="AC1131" s="97"/>
      <c r="AD1131" s="100"/>
      <c r="AE1131" s="102"/>
    </row>
    <row r="1132" spans="1:31" ht="17.100000000000001" customHeight="1" x14ac:dyDescent="0.25">
      <c r="A1132" s="51"/>
      <c r="B1132" s="66"/>
      <c r="C1132" s="68"/>
      <c r="D1132" s="69"/>
      <c r="E1132" s="70"/>
      <c r="F1132" s="68"/>
      <c r="G1132" s="70"/>
      <c r="H1132" s="59"/>
      <c r="I1132" s="24"/>
      <c r="J1132" s="62"/>
      <c r="K1132" s="71" t="s">
        <v>51</v>
      </c>
      <c r="L1132" s="16" t="s">
        <v>51</v>
      </c>
      <c r="M1132" s="66" t="s">
        <v>51</v>
      </c>
      <c r="N1132" s="38"/>
      <c r="O1132" s="45"/>
      <c r="P1132" s="38"/>
      <c r="Q1132" s="45"/>
      <c r="R1132" s="38"/>
      <c r="S1132" s="39"/>
      <c r="T1132" s="31">
        <f t="shared" ref="T1132" si="351">R1131-P1131</f>
        <v>0</v>
      </c>
      <c r="U1132" s="78"/>
      <c r="V1132" s="81"/>
      <c r="W1132" s="81"/>
      <c r="X1132" s="81"/>
      <c r="Y1132" s="84"/>
      <c r="Z1132" s="34"/>
      <c r="AA1132" s="29"/>
      <c r="AB1132" s="29"/>
      <c r="AC1132" s="97"/>
      <c r="AD1132" s="104"/>
      <c r="AE1132" s="102"/>
    </row>
    <row r="1133" spans="1:31" ht="17.100000000000001" customHeight="1" thickBot="1" x14ac:dyDescent="0.3">
      <c r="A1133" s="52"/>
      <c r="B1133" s="67"/>
      <c r="C1133" s="73"/>
      <c r="D1133" s="74"/>
      <c r="E1133" s="75"/>
      <c r="F1133" s="73"/>
      <c r="G1133" s="75"/>
      <c r="H1133" s="60"/>
      <c r="I1133" s="25"/>
      <c r="J1133" s="89"/>
      <c r="K1133" s="72"/>
      <c r="L1133" s="19" t="s">
        <v>52</v>
      </c>
      <c r="M1133" s="67"/>
      <c r="N1133" s="92"/>
      <c r="O1133" s="93"/>
      <c r="P1133" s="92"/>
      <c r="Q1133" s="93"/>
      <c r="R1133" s="92"/>
      <c r="S1133" s="95"/>
      <c r="T1133" s="33"/>
      <c r="U1133" s="79"/>
      <c r="V1133" s="82"/>
      <c r="W1133" s="82"/>
      <c r="X1133" s="82"/>
      <c r="Y1133" s="85"/>
      <c r="Z1133" s="35"/>
      <c r="AA1133" s="30"/>
      <c r="AB1133" s="30"/>
      <c r="AC1133" s="105"/>
      <c r="AD1133" s="106"/>
      <c r="AE1133" s="103"/>
    </row>
    <row r="1134" spans="1:31" ht="17.100000000000001" customHeight="1" x14ac:dyDescent="0.25">
      <c r="A1134" s="50">
        <v>46023</v>
      </c>
      <c r="B1134" s="53"/>
      <c r="C1134" s="55"/>
      <c r="D1134" s="56"/>
      <c r="E1134" s="57"/>
      <c r="F1134" s="55"/>
      <c r="G1134" s="57"/>
      <c r="H1134" s="58"/>
      <c r="I1134" s="26"/>
      <c r="J1134" s="61"/>
      <c r="K1134" s="64"/>
      <c r="L1134" s="11"/>
      <c r="M1134" s="53"/>
      <c r="N1134" s="42"/>
      <c r="O1134" s="43"/>
      <c r="P1134" s="36"/>
      <c r="Q1134" s="43"/>
      <c r="R1134" s="36"/>
      <c r="S1134" s="37"/>
      <c r="T1134" s="76">
        <f t="shared" ref="T1134" si="352">R1134-P1134</f>
        <v>0</v>
      </c>
      <c r="U1134" s="77"/>
      <c r="V1134" s="80"/>
      <c r="W1134" s="80"/>
      <c r="X1134" s="80"/>
      <c r="Y1134" s="83"/>
      <c r="Z1134" s="86"/>
      <c r="AA1134" s="48"/>
      <c r="AB1134" s="48"/>
      <c r="AC1134" s="96"/>
      <c r="AD1134" s="99"/>
      <c r="AE1134" s="101"/>
    </row>
    <row r="1135" spans="1:31" ht="17.100000000000001" customHeight="1" x14ac:dyDescent="0.25">
      <c r="A1135" s="51"/>
      <c r="B1135" s="54"/>
      <c r="C1135" s="68"/>
      <c r="D1135" s="69"/>
      <c r="E1135" s="70"/>
      <c r="F1135" s="68"/>
      <c r="G1135" s="70"/>
      <c r="H1135" s="59"/>
      <c r="I1135" s="24"/>
      <c r="J1135" s="62"/>
      <c r="K1135" s="65"/>
      <c r="L1135" s="17"/>
      <c r="M1135" s="54"/>
      <c r="N1135" s="44"/>
      <c r="O1135" s="45"/>
      <c r="P1135" s="38"/>
      <c r="Q1135" s="45"/>
      <c r="R1135" s="38"/>
      <c r="S1135" s="39"/>
      <c r="T1135" s="32"/>
      <c r="U1135" s="78"/>
      <c r="V1135" s="81"/>
      <c r="W1135" s="81"/>
      <c r="X1135" s="81"/>
      <c r="Y1135" s="84"/>
      <c r="Z1135" s="34"/>
      <c r="AA1135" s="29"/>
      <c r="AB1135" s="29"/>
      <c r="AC1135" s="97"/>
      <c r="AD1135" s="100"/>
      <c r="AE1135" s="102"/>
    </row>
    <row r="1136" spans="1:31" ht="17.100000000000001" customHeight="1" x14ac:dyDescent="0.25">
      <c r="A1136" s="51"/>
      <c r="B1136" s="66"/>
      <c r="C1136" s="68"/>
      <c r="D1136" s="69"/>
      <c r="E1136" s="70"/>
      <c r="F1136" s="68"/>
      <c r="G1136" s="70"/>
      <c r="H1136" s="59"/>
      <c r="I1136" s="27"/>
      <c r="J1136" s="63"/>
      <c r="K1136" s="71"/>
      <c r="L1136" s="18"/>
      <c r="M1136" s="66"/>
      <c r="N1136" s="46"/>
      <c r="O1136" s="47"/>
      <c r="P1136" s="40"/>
      <c r="Q1136" s="47"/>
      <c r="R1136" s="40"/>
      <c r="S1136" s="41"/>
      <c r="T1136" s="31">
        <f>(P1137-P1134)+(R1134-R1137)</f>
        <v>0</v>
      </c>
      <c r="U1136" s="78"/>
      <c r="V1136" s="81"/>
      <c r="W1136" s="81"/>
      <c r="X1136" s="81"/>
      <c r="Y1136" s="84"/>
      <c r="Z1136" s="87"/>
      <c r="AA1136" s="49"/>
      <c r="AB1136" s="49"/>
      <c r="AC1136" s="98"/>
      <c r="AD1136" s="104"/>
      <c r="AE1136" s="102"/>
    </row>
    <row r="1137" spans="1:31" ht="17.100000000000001" customHeight="1" x14ac:dyDescent="0.25">
      <c r="A1137" s="51"/>
      <c r="B1137" s="54"/>
      <c r="C1137" s="68"/>
      <c r="D1137" s="69"/>
      <c r="E1137" s="70"/>
      <c r="F1137" s="68"/>
      <c r="G1137" s="70"/>
      <c r="H1137" s="59"/>
      <c r="I1137" s="23"/>
      <c r="J1137" s="88"/>
      <c r="K1137" s="65"/>
      <c r="L1137" s="18"/>
      <c r="M1137" s="54"/>
      <c r="N1137" s="90">
        <f>(P1134-N1134)+(P1137-P1134)+(R1134-R1137)</f>
        <v>0</v>
      </c>
      <c r="O1137" s="91"/>
      <c r="P1137" s="90"/>
      <c r="Q1137" s="91"/>
      <c r="R1137" s="90"/>
      <c r="S1137" s="94"/>
      <c r="T1137" s="32"/>
      <c r="U1137" s="78"/>
      <c r="V1137" s="81"/>
      <c r="W1137" s="81"/>
      <c r="X1137" s="81"/>
      <c r="Y1137" s="84"/>
      <c r="Z1137" s="34"/>
      <c r="AA1137" s="28"/>
      <c r="AB1137" s="28"/>
      <c r="AC1137" s="97"/>
      <c r="AD1137" s="100"/>
      <c r="AE1137" s="102"/>
    </row>
    <row r="1138" spans="1:31" ht="17.100000000000001" customHeight="1" x14ac:dyDescent="0.25">
      <c r="A1138" s="51"/>
      <c r="B1138" s="66"/>
      <c r="C1138" s="68"/>
      <c r="D1138" s="69"/>
      <c r="E1138" s="70"/>
      <c r="F1138" s="68"/>
      <c r="G1138" s="70"/>
      <c r="H1138" s="59"/>
      <c r="I1138" s="24"/>
      <c r="J1138" s="62"/>
      <c r="K1138" s="71" t="s">
        <v>51</v>
      </c>
      <c r="L1138" s="16" t="s">
        <v>51</v>
      </c>
      <c r="M1138" s="66" t="s">
        <v>51</v>
      </c>
      <c r="N1138" s="38"/>
      <c r="O1138" s="45"/>
      <c r="P1138" s="38"/>
      <c r="Q1138" s="45"/>
      <c r="R1138" s="38"/>
      <c r="S1138" s="39"/>
      <c r="T1138" s="31">
        <f t="shared" ref="T1138" si="353">R1137-P1137</f>
        <v>0</v>
      </c>
      <c r="U1138" s="78"/>
      <c r="V1138" s="81"/>
      <c r="W1138" s="81"/>
      <c r="X1138" s="81"/>
      <c r="Y1138" s="84"/>
      <c r="Z1138" s="34"/>
      <c r="AA1138" s="29"/>
      <c r="AB1138" s="29"/>
      <c r="AC1138" s="97"/>
      <c r="AD1138" s="104"/>
      <c r="AE1138" s="102"/>
    </row>
    <row r="1139" spans="1:31" ht="17.100000000000001" customHeight="1" thickBot="1" x14ac:dyDescent="0.3">
      <c r="A1139" s="52"/>
      <c r="B1139" s="67"/>
      <c r="C1139" s="73"/>
      <c r="D1139" s="74"/>
      <c r="E1139" s="75"/>
      <c r="F1139" s="73"/>
      <c r="G1139" s="75"/>
      <c r="H1139" s="60"/>
      <c r="I1139" s="25"/>
      <c r="J1139" s="89"/>
      <c r="K1139" s="72"/>
      <c r="L1139" s="19" t="s">
        <v>52</v>
      </c>
      <c r="M1139" s="67"/>
      <c r="N1139" s="92"/>
      <c r="O1139" s="93"/>
      <c r="P1139" s="92"/>
      <c r="Q1139" s="93"/>
      <c r="R1139" s="92"/>
      <c r="S1139" s="95"/>
      <c r="T1139" s="33"/>
      <c r="U1139" s="79"/>
      <c r="V1139" s="82"/>
      <c r="W1139" s="82"/>
      <c r="X1139" s="82"/>
      <c r="Y1139" s="85"/>
      <c r="Z1139" s="35"/>
      <c r="AA1139" s="30"/>
      <c r="AB1139" s="30"/>
      <c r="AC1139" s="105"/>
      <c r="AD1139" s="106"/>
      <c r="AE1139" s="103"/>
    </row>
    <row r="1140" spans="1:31" ht="17.100000000000001" customHeight="1" x14ac:dyDescent="0.25">
      <c r="A1140" s="50">
        <v>46023</v>
      </c>
      <c r="B1140" s="53"/>
      <c r="C1140" s="55"/>
      <c r="D1140" s="56"/>
      <c r="E1140" s="57"/>
      <c r="F1140" s="55"/>
      <c r="G1140" s="57"/>
      <c r="H1140" s="58"/>
      <c r="I1140" s="26"/>
      <c r="J1140" s="61"/>
      <c r="K1140" s="64"/>
      <c r="L1140" s="11"/>
      <c r="M1140" s="53"/>
      <c r="N1140" s="42"/>
      <c r="O1140" s="43"/>
      <c r="P1140" s="36"/>
      <c r="Q1140" s="43"/>
      <c r="R1140" s="36"/>
      <c r="S1140" s="37"/>
      <c r="T1140" s="76">
        <f t="shared" ref="T1140" si="354">R1140-P1140</f>
        <v>0</v>
      </c>
      <c r="U1140" s="77"/>
      <c r="V1140" s="80"/>
      <c r="W1140" s="80"/>
      <c r="X1140" s="80"/>
      <c r="Y1140" s="83"/>
      <c r="Z1140" s="86"/>
      <c r="AA1140" s="48"/>
      <c r="AB1140" s="48"/>
      <c r="AC1140" s="96"/>
      <c r="AD1140" s="99"/>
      <c r="AE1140" s="101"/>
    </row>
    <row r="1141" spans="1:31" ht="17.100000000000001" customHeight="1" x14ac:dyDescent="0.25">
      <c r="A1141" s="51"/>
      <c r="B1141" s="54"/>
      <c r="C1141" s="68"/>
      <c r="D1141" s="69"/>
      <c r="E1141" s="70"/>
      <c r="F1141" s="68"/>
      <c r="G1141" s="70"/>
      <c r="H1141" s="59"/>
      <c r="I1141" s="24"/>
      <c r="J1141" s="62"/>
      <c r="K1141" s="65"/>
      <c r="L1141" s="17"/>
      <c r="M1141" s="54"/>
      <c r="N1141" s="44"/>
      <c r="O1141" s="45"/>
      <c r="P1141" s="38"/>
      <c r="Q1141" s="45"/>
      <c r="R1141" s="38"/>
      <c r="S1141" s="39"/>
      <c r="T1141" s="32"/>
      <c r="U1141" s="78"/>
      <c r="V1141" s="81"/>
      <c r="W1141" s="81"/>
      <c r="X1141" s="81"/>
      <c r="Y1141" s="84"/>
      <c r="Z1141" s="34"/>
      <c r="AA1141" s="29"/>
      <c r="AB1141" s="29"/>
      <c r="AC1141" s="97"/>
      <c r="AD1141" s="100"/>
      <c r="AE1141" s="102"/>
    </row>
    <row r="1142" spans="1:31" ht="17.100000000000001" customHeight="1" x14ac:dyDescent="0.25">
      <c r="A1142" s="51"/>
      <c r="B1142" s="66"/>
      <c r="C1142" s="68"/>
      <c r="D1142" s="69"/>
      <c r="E1142" s="70"/>
      <c r="F1142" s="68"/>
      <c r="G1142" s="70"/>
      <c r="H1142" s="59"/>
      <c r="I1142" s="27"/>
      <c r="J1142" s="63"/>
      <c r="K1142" s="71"/>
      <c r="L1142" s="18"/>
      <c r="M1142" s="66"/>
      <c r="N1142" s="46"/>
      <c r="O1142" s="47"/>
      <c r="P1142" s="40"/>
      <c r="Q1142" s="47"/>
      <c r="R1142" s="40"/>
      <c r="S1142" s="41"/>
      <c r="T1142" s="31">
        <f>(P1143-P1140)+(R1140-R1143)</f>
        <v>0</v>
      </c>
      <c r="U1142" s="78"/>
      <c r="V1142" s="81"/>
      <c r="W1142" s="81"/>
      <c r="X1142" s="81"/>
      <c r="Y1142" s="84"/>
      <c r="Z1142" s="87"/>
      <c r="AA1142" s="49"/>
      <c r="AB1142" s="49"/>
      <c r="AC1142" s="98"/>
      <c r="AD1142" s="104"/>
      <c r="AE1142" s="102"/>
    </row>
    <row r="1143" spans="1:31" ht="17.100000000000001" customHeight="1" x14ac:dyDescent="0.25">
      <c r="A1143" s="51"/>
      <c r="B1143" s="54"/>
      <c r="C1143" s="68"/>
      <c r="D1143" s="69"/>
      <c r="E1143" s="70"/>
      <c r="F1143" s="68"/>
      <c r="G1143" s="70"/>
      <c r="H1143" s="59"/>
      <c r="I1143" s="23"/>
      <c r="J1143" s="88"/>
      <c r="K1143" s="65"/>
      <c r="L1143" s="18"/>
      <c r="M1143" s="54"/>
      <c r="N1143" s="90">
        <f>(P1140-N1140)+(P1143-P1140)+(R1140-R1143)</f>
        <v>0</v>
      </c>
      <c r="O1143" s="91"/>
      <c r="P1143" s="90"/>
      <c r="Q1143" s="91"/>
      <c r="R1143" s="90"/>
      <c r="S1143" s="94"/>
      <c r="T1143" s="32"/>
      <c r="U1143" s="78"/>
      <c r="V1143" s="81"/>
      <c r="W1143" s="81"/>
      <c r="X1143" s="81"/>
      <c r="Y1143" s="84"/>
      <c r="Z1143" s="34"/>
      <c r="AA1143" s="28"/>
      <c r="AB1143" s="28"/>
      <c r="AC1143" s="97"/>
      <c r="AD1143" s="100"/>
      <c r="AE1143" s="102"/>
    </row>
    <row r="1144" spans="1:31" ht="17.100000000000001" customHeight="1" x14ac:dyDescent="0.25">
      <c r="A1144" s="51"/>
      <c r="B1144" s="66"/>
      <c r="C1144" s="68"/>
      <c r="D1144" s="69"/>
      <c r="E1144" s="70"/>
      <c r="F1144" s="68"/>
      <c r="G1144" s="70"/>
      <c r="H1144" s="59"/>
      <c r="I1144" s="24"/>
      <c r="J1144" s="62"/>
      <c r="K1144" s="71" t="s">
        <v>51</v>
      </c>
      <c r="L1144" s="16" t="s">
        <v>51</v>
      </c>
      <c r="M1144" s="66" t="s">
        <v>51</v>
      </c>
      <c r="N1144" s="38"/>
      <c r="O1144" s="45"/>
      <c r="P1144" s="38"/>
      <c r="Q1144" s="45"/>
      <c r="R1144" s="38"/>
      <c r="S1144" s="39"/>
      <c r="T1144" s="31">
        <f t="shared" ref="T1144" si="355">R1143-P1143</f>
        <v>0</v>
      </c>
      <c r="U1144" s="78"/>
      <c r="V1144" s="81"/>
      <c r="W1144" s="81"/>
      <c r="X1144" s="81"/>
      <c r="Y1144" s="84"/>
      <c r="Z1144" s="34"/>
      <c r="AA1144" s="29"/>
      <c r="AB1144" s="29"/>
      <c r="AC1144" s="97"/>
      <c r="AD1144" s="104"/>
      <c r="AE1144" s="102"/>
    </row>
    <row r="1145" spans="1:31" ht="17.100000000000001" customHeight="1" thickBot="1" x14ac:dyDescent="0.3">
      <c r="A1145" s="52"/>
      <c r="B1145" s="67"/>
      <c r="C1145" s="73"/>
      <c r="D1145" s="74"/>
      <c r="E1145" s="75"/>
      <c r="F1145" s="73"/>
      <c r="G1145" s="75"/>
      <c r="H1145" s="60"/>
      <c r="I1145" s="25"/>
      <c r="J1145" s="89"/>
      <c r="K1145" s="72"/>
      <c r="L1145" s="19" t="s">
        <v>52</v>
      </c>
      <c r="M1145" s="67"/>
      <c r="N1145" s="92"/>
      <c r="O1145" s="93"/>
      <c r="P1145" s="92"/>
      <c r="Q1145" s="93"/>
      <c r="R1145" s="92"/>
      <c r="S1145" s="95"/>
      <c r="T1145" s="33"/>
      <c r="U1145" s="79"/>
      <c r="V1145" s="82"/>
      <c r="W1145" s="82"/>
      <c r="X1145" s="82"/>
      <c r="Y1145" s="85"/>
      <c r="Z1145" s="35"/>
      <c r="AA1145" s="30"/>
      <c r="AB1145" s="30"/>
      <c r="AC1145" s="105"/>
      <c r="AD1145" s="106"/>
      <c r="AE1145" s="103"/>
    </row>
    <row r="1146" spans="1:31" ht="17.100000000000001" customHeight="1" x14ac:dyDescent="0.25">
      <c r="A1146" s="50">
        <v>46023</v>
      </c>
      <c r="B1146" s="53"/>
      <c r="C1146" s="55"/>
      <c r="D1146" s="56"/>
      <c r="E1146" s="57"/>
      <c r="F1146" s="55"/>
      <c r="G1146" s="57"/>
      <c r="H1146" s="58"/>
      <c r="I1146" s="26"/>
      <c r="J1146" s="61"/>
      <c r="K1146" s="64"/>
      <c r="L1146" s="11"/>
      <c r="M1146" s="53"/>
      <c r="N1146" s="42"/>
      <c r="O1146" s="43"/>
      <c r="P1146" s="36"/>
      <c r="Q1146" s="43"/>
      <c r="R1146" s="36"/>
      <c r="S1146" s="37"/>
      <c r="T1146" s="76">
        <f t="shared" ref="T1146" si="356">R1146-P1146</f>
        <v>0</v>
      </c>
      <c r="U1146" s="77"/>
      <c r="V1146" s="80"/>
      <c r="W1146" s="80"/>
      <c r="X1146" s="80"/>
      <c r="Y1146" s="83"/>
      <c r="Z1146" s="86"/>
      <c r="AA1146" s="48"/>
      <c r="AB1146" s="48"/>
      <c r="AC1146" s="96"/>
      <c r="AD1146" s="99"/>
      <c r="AE1146" s="101"/>
    </row>
    <row r="1147" spans="1:31" ht="17.100000000000001" customHeight="1" x14ac:dyDescent="0.25">
      <c r="A1147" s="51"/>
      <c r="B1147" s="54"/>
      <c r="C1147" s="68"/>
      <c r="D1147" s="69"/>
      <c r="E1147" s="70"/>
      <c r="F1147" s="68"/>
      <c r="G1147" s="70"/>
      <c r="H1147" s="59"/>
      <c r="I1147" s="24"/>
      <c r="J1147" s="62"/>
      <c r="K1147" s="65"/>
      <c r="L1147" s="17"/>
      <c r="M1147" s="54"/>
      <c r="N1147" s="44"/>
      <c r="O1147" s="45"/>
      <c r="P1147" s="38"/>
      <c r="Q1147" s="45"/>
      <c r="R1147" s="38"/>
      <c r="S1147" s="39"/>
      <c r="T1147" s="32"/>
      <c r="U1147" s="78"/>
      <c r="V1147" s="81"/>
      <c r="W1147" s="81"/>
      <c r="X1147" s="81"/>
      <c r="Y1147" s="84"/>
      <c r="Z1147" s="34"/>
      <c r="AA1147" s="29"/>
      <c r="AB1147" s="29"/>
      <c r="AC1147" s="97"/>
      <c r="AD1147" s="100"/>
      <c r="AE1147" s="102"/>
    </row>
    <row r="1148" spans="1:31" ht="17.100000000000001" customHeight="1" x14ac:dyDescent="0.25">
      <c r="A1148" s="51"/>
      <c r="B1148" s="66"/>
      <c r="C1148" s="68"/>
      <c r="D1148" s="69"/>
      <c r="E1148" s="70"/>
      <c r="F1148" s="68"/>
      <c r="G1148" s="70"/>
      <c r="H1148" s="59"/>
      <c r="I1148" s="27"/>
      <c r="J1148" s="63"/>
      <c r="K1148" s="71"/>
      <c r="L1148" s="18"/>
      <c r="M1148" s="66"/>
      <c r="N1148" s="46"/>
      <c r="O1148" s="47"/>
      <c r="P1148" s="40"/>
      <c r="Q1148" s="47"/>
      <c r="R1148" s="40"/>
      <c r="S1148" s="41"/>
      <c r="T1148" s="31">
        <f>(P1149-P1146)+(R1146-R1149)</f>
        <v>0</v>
      </c>
      <c r="U1148" s="78"/>
      <c r="V1148" s="81"/>
      <c r="W1148" s="81"/>
      <c r="X1148" s="81"/>
      <c r="Y1148" s="84"/>
      <c r="Z1148" s="87"/>
      <c r="AA1148" s="49"/>
      <c r="AB1148" s="49"/>
      <c r="AC1148" s="98"/>
      <c r="AD1148" s="104"/>
      <c r="AE1148" s="102"/>
    </row>
    <row r="1149" spans="1:31" ht="17.100000000000001" customHeight="1" x14ac:dyDescent="0.25">
      <c r="A1149" s="51"/>
      <c r="B1149" s="54"/>
      <c r="C1149" s="68"/>
      <c r="D1149" s="69"/>
      <c r="E1149" s="70"/>
      <c r="F1149" s="68"/>
      <c r="G1149" s="70"/>
      <c r="H1149" s="59"/>
      <c r="I1149" s="23"/>
      <c r="J1149" s="88"/>
      <c r="K1149" s="65"/>
      <c r="L1149" s="18"/>
      <c r="M1149" s="54"/>
      <c r="N1149" s="90">
        <f>(P1146-N1146)+(P1149-P1146)+(R1146-R1149)</f>
        <v>0</v>
      </c>
      <c r="O1149" s="91"/>
      <c r="P1149" s="90"/>
      <c r="Q1149" s="91"/>
      <c r="R1149" s="90"/>
      <c r="S1149" s="94"/>
      <c r="T1149" s="32"/>
      <c r="U1149" s="78"/>
      <c r="V1149" s="81"/>
      <c r="W1149" s="81"/>
      <c r="X1149" s="81"/>
      <c r="Y1149" s="84"/>
      <c r="Z1149" s="34"/>
      <c r="AA1149" s="28"/>
      <c r="AB1149" s="28"/>
      <c r="AC1149" s="97"/>
      <c r="AD1149" s="100"/>
      <c r="AE1149" s="102"/>
    </row>
    <row r="1150" spans="1:31" ht="17.100000000000001" customHeight="1" x14ac:dyDescent="0.25">
      <c r="A1150" s="51"/>
      <c r="B1150" s="66"/>
      <c r="C1150" s="68"/>
      <c r="D1150" s="69"/>
      <c r="E1150" s="70"/>
      <c r="F1150" s="68"/>
      <c r="G1150" s="70"/>
      <c r="H1150" s="59"/>
      <c r="I1150" s="24"/>
      <c r="J1150" s="62"/>
      <c r="K1150" s="71" t="s">
        <v>51</v>
      </c>
      <c r="L1150" s="16" t="s">
        <v>51</v>
      </c>
      <c r="M1150" s="66" t="s">
        <v>51</v>
      </c>
      <c r="N1150" s="38"/>
      <c r="O1150" s="45"/>
      <c r="P1150" s="38"/>
      <c r="Q1150" s="45"/>
      <c r="R1150" s="38"/>
      <c r="S1150" s="39"/>
      <c r="T1150" s="31">
        <f t="shared" ref="T1150" si="357">R1149-P1149</f>
        <v>0</v>
      </c>
      <c r="U1150" s="78"/>
      <c r="V1150" s="81"/>
      <c r="W1150" s="81"/>
      <c r="X1150" s="81"/>
      <c r="Y1150" s="84"/>
      <c r="Z1150" s="34"/>
      <c r="AA1150" s="29"/>
      <c r="AB1150" s="29"/>
      <c r="AC1150" s="97"/>
      <c r="AD1150" s="104"/>
      <c r="AE1150" s="102"/>
    </row>
    <row r="1151" spans="1:31" ht="17.100000000000001" customHeight="1" thickBot="1" x14ac:dyDescent="0.3">
      <c r="A1151" s="52"/>
      <c r="B1151" s="67"/>
      <c r="C1151" s="73"/>
      <c r="D1151" s="74"/>
      <c r="E1151" s="75"/>
      <c r="F1151" s="73"/>
      <c r="G1151" s="75"/>
      <c r="H1151" s="60"/>
      <c r="I1151" s="25"/>
      <c r="J1151" s="89"/>
      <c r="K1151" s="72"/>
      <c r="L1151" s="19" t="s">
        <v>52</v>
      </c>
      <c r="M1151" s="67"/>
      <c r="N1151" s="92"/>
      <c r="O1151" s="93"/>
      <c r="P1151" s="92"/>
      <c r="Q1151" s="93"/>
      <c r="R1151" s="92"/>
      <c r="S1151" s="95"/>
      <c r="T1151" s="33"/>
      <c r="U1151" s="79"/>
      <c r="V1151" s="82"/>
      <c r="W1151" s="82"/>
      <c r="X1151" s="82"/>
      <c r="Y1151" s="85"/>
      <c r="Z1151" s="35"/>
      <c r="AA1151" s="30"/>
      <c r="AB1151" s="30"/>
      <c r="AC1151" s="105"/>
      <c r="AD1151" s="106"/>
      <c r="AE1151" s="103"/>
    </row>
    <row r="1153" spans="1:31" ht="17.100000000000001" customHeight="1" thickBot="1" x14ac:dyDescent="0.3"/>
    <row r="1154" spans="1:31" ht="17.100000000000001" customHeight="1" x14ac:dyDescent="0.25">
      <c r="A1154" s="50">
        <v>46023</v>
      </c>
      <c r="B1154" s="53"/>
      <c r="C1154" s="55"/>
      <c r="D1154" s="56"/>
      <c r="E1154" s="57"/>
      <c r="F1154" s="55"/>
      <c r="G1154" s="57"/>
      <c r="H1154" s="58"/>
      <c r="I1154" s="26"/>
      <c r="J1154" s="61"/>
      <c r="K1154" s="64"/>
      <c r="L1154" s="11"/>
      <c r="M1154" s="53"/>
      <c r="N1154" s="42"/>
      <c r="O1154" s="43"/>
      <c r="P1154" s="36"/>
      <c r="Q1154" s="43"/>
      <c r="R1154" s="36"/>
      <c r="S1154" s="37"/>
      <c r="T1154" s="76">
        <f t="shared" ref="T1154" si="358">R1154-P1154</f>
        <v>0</v>
      </c>
      <c r="U1154" s="77"/>
      <c r="V1154" s="80"/>
      <c r="W1154" s="80"/>
      <c r="X1154" s="80"/>
      <c r="Y1154" s="83"/>
      <c r="Z1154" s="86"/>
      <c r="AA1154" s="48"/>
      <c r="AB1154" s="48"/>
      <c r="AC1154" s="96"/>
      <c r="AD1154" s="99"/>
      <c r="AE1154" s="101"/>
    </row>
    <row r="1155" spans="1:31" ht="17.100000000000001" customHeight="1" x14ac:dyDescent="0.25">
      <c r="A1155" s="51"/>
      <c r="B1155" s="54"/>
      <c r="C1155" s="68"/>
      <c r="D1155" s="69"/>
      <c r="E1155" s="70"/>
      <c r="F1155" s="68"/>
      <c r="G1155" s="70"/>
      <c r="H1155" s="59"/>
      <c r="I1155" s="24"/>
      <c r="J1155" s="62"/>
      <c r="K1155" s="65"/>
      <c r="L1155" s="17"/>
      <c r="M1155" s="54"/>
      <c r="N1155" s="44"/>
      <c r="O1155" s="45"/>
      <c r="P1155" s="38"/>
      <c r="Q1155" s="45"/>
      <c r="R1155" s="38"/>
      <c r="S1155" s="39"/>
      <c r="T1155" s="32"/>
      <c r="U1155" s="78"/>
      <c r="V1155" s="81"/>
      <c r="W1155" s="81"/>
      <c r="X1155" s="81"/>
      <c r="Y1155" s="84"/>
      <c r="Z1155" s="34"/>
      <c r="AA1155" s="29"/>
      <c r="AB1155" s="29"/>
      <c r="AC1155" s="97"/>
      <c r="AD1155" s="100"/>
      <c r="AE1155" s="102"/>
    </row>
    <row r="1156" spans="1:31" ht="17.100000000000001" customHeight="1" x14ac:dyDescent="0.25">
      <c r="A1156" s="51"/>
      <c r="B1156" s="66"/>
      <c r="C1156" s="68"/>
      <c r="D1156" s="69"/>
      <c r="E1156" s="70"/>
      <c r="F1156" s="68"/>
      <c r="G1156" s="70"/>
      <c r="H1156" s="59"/>
      <c r="I1156" s="27"/>
      <c r="J1156" s="63"/>
      <c r="K1156" s="71"/>
      <c r="L1156" s="18"/>
      <c r="M1156" s="66"/>
      <c r="N1156" s="46"/>
      <c r="O1156" s="47"/>
      <c r="P1156" s="40"/>
      <c r="Q1156" s="47"/>
      <c r="R1156" s="40"/>
      <c r="S1156" s="41"/>
      <c r="T1156" s="31">
        <f>(P1157-P1154)+(R1154-R1157)</f>
        <v>0</v>
      </c>
      <c r="U1156" s="78"/>
      <c r="V1156" s="81"/>
      <c r="W1156" s="81"/>
      <c r="X1156" s="81"/>
      <c r="Y1156" s="84"/>
      <c r="Z1156" s="87"/>
      <c r="AA1156" s="49"/>
      <c r="AB1156" s="49"/>
      <c r="AC1156" s="98"/>
      <c r="AD1156" s="104"/>
      <c r="AE1156" s="102"/>
    </row>
    <row r="1157" spans="1:31" ht="17.100000000000001" customHeight="1" x14ac:dyDescent="0.25">
      <c r="A1157" s="51"/>
      <c r="B1157" s="54"/>
      <c r="C1157" s="68"/>
      <c r="D1157" s="69"/>
      <c r="E1157" s="70"/>
      <c r="F1157" s="68"/>
      <c r="G1157" s="70"/>
      <c r="H1157" s="59"/>
      <c r="I1157" s="23"/>
      <c r="J1157" s="88"/>
      <c r="K1157" s="65"/>
      <c r="L1157" s="18"/>
      <c r="M1157" s="54"/>
      <c r="N1157" s="90">
        <f>(P1154-N1154)+(P1157-P1154)+(R1154-R1157)</f>
        <v>0</v>
      </c>
      <c r="O1157" s="91"/>
      <c r="P1157" s="90"/>
      <c r="Q1157" s="91"/>
      <c r="R1157" s="90"/>
      <c r="S1157" s="94"/>
      <c r="T1157" s="32"/>
      <c r="U1157" s="78"/>
      <c r="V1157" s="81"/>
      <c r="W1157" s="81"/>
      <c r="X1157" s="81"/>
      <c r="Y1157" s="84"/>
      <c r="Z1157" s="34"/>
      <c r="AA1157" s="28"/>
      <c r="AB1157" s="28"/>
      <c r="AC1157" s="97"/>
      <c r="AD1157" s="100"/>
      <c r="AE1157" s="102"/>
    </row>
    <row r="1158" spans="1:31" ht="17.100000000000001" customHeight="1" x14ac:dyDescent="0.25">
      <c r="A1158" s="51"/>
      <c r="B1158" s="66"/>
      <c r="C1158" s="68"/>
      <c r="D1158" s="69"/>
      <c r="E1158" s="70"/>
      <c r="F1158" s="68"/>
      <c r="G1158" s="70"/>
      <c r="H1158" s="59"/>
      <c r="I1158" s="24"/>
      <c r="J1158" s="62"/>
      <c r="K1158" s="71" t="s">
        <v>51</v>
      </c>
      <c r="L1158" s="16" t="s">
        <v>51</v>
      </c>
      <c r="M1158" s="66" t="s">
        <v>51</v>
      </c>
      <c r="N1158" s="38"/>
      <c r="O1158" s="45"/>
      <c r="P1158" s="38"/>
      <c r="Q1158" s="45"/>
      <c r="R1158" s="38"/>
      <c r="S1158" s="39"/>
      <c r="T1158" s="31">
        <f t="shared" ref="T1158" si="359">R1157-P1157</f>
        <v>0</v>
      </c>
      <c r="U1158" s="78"/>
      <c r="V1158" s="81"/>
      <c r="W1158" s="81"/>
      <c r="X1158" s="81"/>
      <c r="Y1158" s="84"/>
      <c r="Z1158" s="34"/>
      <c r="AA1158" s="29"/>
      <c r="AB1158" s="29"/>
      <c r="AC1158" s="97"/>
      <c r="AD1158" s="104"/>
      <c r="AE1158" s="102"/>
    </row>
    <row r="1159" spans="1:31" ht="17.100000000000001" customHeight="1" thickBot="1" x14ac:dyDescent="0.3">
      <c r="A1159" s="52"/>
      <c r="B1159" s="67"/>
      <c r="C1159" s="73"/>
      <c r="D1159" s="74"/>
      <c r="E1159" s="75"/>
      <c r="F1159" s="73"/>
      <c r="G1159" s="75"/>
      <c r="H1159" s="60"/>
      <c r="I1159" s="25"/>
      <c r="J1159" s="89"/>
      <c r="K1159" s="72"/>
      <c r="L1159" s="19" t="s">
        <v>52</v>
      </c>
      <c r="M1159" s="67"/>
      <c r="N1159" s="92"/>
      <c r="O1159" s="93"/>
      <c r="P1159" s="92"/>
      <c r="Q1159" s="93"/>
      <c r="R1159" s="92"/>
      <c r="S1159" s="95"/>
      <c r="T1159" s="33"/>
      <c r="U1159" s="79"/>
      <c r="V1159" s="82"/>
      <c r="W1159" s="82"/>
      <c r="X1159" s="82"/>
      <c r="Y1159" s="85"/>
      <c r="Z1159" s="35"/>
      <c r="AA1159" s="30"/>
      <c r="AB1159" s="30"/>
      <c r="AC1159" s="105"/>
      <c r="AD1159" s="106"/>
      <c r="AE1159" s="103"/>
    </row>
    <row r="1160" spans="1:31" ht="17.100000000000001" customHeight="1" x14ac:dyDescent="0.25">
      <c r="A1160" s="50">
        <v>46023</v>
      </c>
      <c r="B1160" s="53"/>
      <c r="C1160" s="55"/>
      <c r="D1160" s="56"/>
      <c r="E1160" s="57"/>
      <c r="F1160" s="55"/>
      <c r="G1160" s="57"/>
      <c r="H1160" s="58"/>
      <c r="I1160" s="26"/>
      <c r="J1160" s="61"/>
      <c r="K1160" s="64"/>
      <c r="L1160" s="11"/>
      <c r="M1160" s="53"/>
      <c r="N1160" s="42"/>
      <c r="O1160" s="43"/>
      <c r="P1160" s="36"/>
      <c r="Q1160" s="43"/>
      <c r="R1160" s="36"/>
      <c r="S1160" s="37"/>
      <c r="T1160" s="76">
        <f t="shared" ref="T1160" si="360">R1160-P1160</f>
        <v>0</v>
      </c>
      <c r="U1160" s="77"/>
      <c r="V1160" s="80"/>
      <c r="W1160" s="80"/>
      <c r="X1160" s="80"/>
      <c r="Y1160" s="83"/>
      <c r="Z1160" s="86"/>
      <c r="AA1160" s="48"/>
      <c r="AB1160" s="48"/>
      <c r="AC1160" s="96"/>
      <c r="AD1160" s="99"/>
      <c r="AE1160" s="101"/>
    </row>
    <row r="1161" spans="1:31" ht="17.100000000000001" customHeight="1" x14ac:dyDescent="0.25">
      <c r="A1161" s="51"/>
      <c r="B1161" s="54"/>
      <c r="C1161" s="68"/>
      <c r="D1161" s="69"/>
      <c r="E1161" s="70"/>
      <c r="F1161" s="68"/>
      <c r="G1161" s="70"/>
      <c r="H1161" s="59"/>
      <c r="I1161" s="24"/>
      <c r="J1161" s="62"/>
      <c r="K1161" s="65"/>
      <c r="L1161" s="17"/>
      <c r="M1161" s="54"/>
      <c r="N1161" s="44"/>
      <c r="O1161" s="45"/>
      <c r="P1161" s="38"/>
      <c r="Q1161" s="45"/>
      <c r="R1161" s="38"/>
      <c r="S1161" s="39"/>
      <c r="T1161" s="32"/>
      <c r="U1161" s="78"/>
      <c r="V1161" s="81"/>
      <c r="W1161" s="81"/>
      <c r="X1161" s="81"/>
      <c r="Y1161" s="84"/>
      <c r="Z1161" s="34"/>
      <c r="AA1161" s="29"/>
      <c r="AB1161" s="29"/>
      <c r="AC1161" s="97"/>
      <c r="AD1161" s="100"/>
      <c r="AE1161" s="102"/>
    </row>
    <row r="1162" spans="1:31" ht="17.100000000000001" customHeight="1" x14ac:dyDescent="0.25">
      <c r="A1162" s="51"/>
      <c r="B1162" s="66"/>
      <c r="C1162" s="68"/>
      <c r="D1162" s="69"/>
      <c r="E1162" s="70"/>
      <c r="F1162" s="68"/>
      <c r="G1162" s="70"/>
      <c r="H1162" s="59"/>
      <c r="I1162" s="27"/>
      <c r="J1162" s="63"/>
      <c r="K1162" s="71"/>
      <c r="L1162" s="18"/>
      <c r="M1162" s="66"/>
      <c r="N1162" s="46"/>
      <c r="O1162" s="47"/>
      <c r="P1162" s="40"/>
      <c r="Q1162" s="47"/>
      <c r="R1162" s="40"/>
      <c r="S1162" s="41"/>
      <c r="T1162" s="31">
        <f>(P1163-P1160)+(R1160-R1163)</f>
        <v>0</v>
      </c>
      <c r="U1162" s="78"/>
      <c r="V1162" s="81"/>
      <c r="W1162" s="81"/>
      <c r="X1162" s="81"/>
      <c r="Y1162" s="84"/>
      <c r="Z1162" s="87"/>
      <c r="AA1162" s="49"/>
      <c r="AB1162" s="49"/>
      <c r="AC1162" s="98"/>
      <c r="AD1162" s="104"/>
      <c r="AE1162" s="102"/>
    </row>
    <row r="1163" spans="1:31" ht="17.100000000000001" customHeight="1" x14ac:dyDescent="0.25">
      <c r="A1163" s="51"/>
      <c r="B1163" s="54"/>
      <c r="C1163" s="68"/>
      <c r="D1163" s="69"/>
      <c r="E1163" s="70"/>
      <c r="F1163" s="68"/>
      <c r="G1163" s="70"/>
      <c r="H1163" s="59"/>
      <c r="I1163" s="23"/>
      <c r="J1163" s="88"/>
      <c r="K1163" s="65"/>
      <c r="L1163" s="18"/>
      <c r="M1163" s="54"/>
      <c r="N1163" s="90">
        <f>(P1160-N1160)+(P1163-P1160)+(R1160-R1163)</f>
        <v>0</v>
      </c>
      <c r="O1163" s="91"/>
      <c r="P1163" s="90"/>
      <c r="Q1163" s="91"/>
      <c r="R1163" s="90"/>
      <c r="S1163" s="94"/>
      <c r="T1163" s="32"/>
      <c r="U1163" s="78"/>
      <c r="V1163" s="81"/>
      <c r="W1163" s="81"/>
      <c r="X1163" s="81"/>
      <c r="Y1163" s="84"/>
      <c r="Z1163" s="34"/>
      <c r="AA1163" s="28"/>
      <c r="AB1163" s="28"/>
      <c r="AC1163" s="97"/>
      <c r="AD1163" s="100"/>
      <c r="AE1163" s="102"/>
    </row>
    <row r="1164" spans="1:31" ht="17.100000000000001" customHeight="1" x14ac:dyDescent="0.25">
      <c r="A1164" s="51"/>
      <c r="B1164" s="66"/>
      <c r="C1164" s="68"/>
      <c r="D1164" s="69"/>
      <c r="E1164" s="70"/>
      <c r="F1164" s="68"/>
      <c r="G1164" s="70"/>
      <c r="H1164" s="59"/>
      <c r="I1164" s="24"/>
      <c r="J1164" s="62"/>
      <c r="K1164" s="71" t="s">
        <v>51</v>
      </c>
      <c r="L1164" s="16" t="s">
        <v>51</v>
      </c>
      <c r="M1164" s="66" t="s">
        <v>51</v>
      </c>
      <c r="N1164" s="38"/>
      <c r="O1164" s="45"/>
      <c r="P1164" s="38"/>
      <c r="Q1164" s="45"/>
      <c r="R1164" s="38"/>
      <c r="S1164" s="39"/>
      <c r="T1164" s="31">
        <f t="shared" ref="T1164" si="361">R1163-P1163</f>
        <v>0</v>
      </c>
      <c r="U1164" s="78"/>
      <c r="V1164" s="81"/>
      <c r="W1164" s="81"/>
      <c r="X1164" s="81"/>
      <c r="Y1164" s="84"/>
      <c r="Z1164" s="34"/>
      <c r="AA1164" s="29"/>
      <c r="AB1164" s="29"/>
      <c r="AC1164" s="97"/>
      <c r="AD1164" s="104"/>
      <c r="AE1164" s="102"/>
    </row>
    <row r="1165" spans="1:31" ht="17.100000000000001" customHeight="1" thickBot="1" x14ac:dyDescent="0.3">
      <c r="A1165" s="52"/>
      <c r="B1165" s="67"/>
      <c r="C1165" s="73"/>
      <c r="D1165" s="74"/>
      <c r="E1165" s="75"/>
      <c r="F1165" s="73"/>
      <c r="G1165" s="75"/>
      <c r="H1165" s="60"/>
      <c r="I1165" s="25"/>
      <c r="J1165" s="89"/>
      <c r="K1165" s="72"/>
      <c r="L1165" s="19" t="s">
        <v>52</v>
      </c>
      <c r="M1165" s="67"/>
      <c r="N1165" s="92"/>
      <c r="O1165" s="93"/>
      <c r="P1165" s="92"/>
      <c r="Q1165" s="93"/>
      <c r="R1165" s="92"/>
      <c r="S1165" s="95"/>
      <c r="T1165" s="33"/>
      <c r="U1165" s="79"/>
      <c r="V1165" s="82"/>
      <c r="W1165" s="82"/>
      <c r="X1165" s="82"/>
      <c r="Y1165" s="85"/>
      <c r="Z1165" s="35"/>
      <c r="AA1165" s="30"/>
      <c r="AB1165" s="30"/>
      <c r="AC1165" s="105"/>
      <c r="AD1165" s="106"/>
      <c r="AE1165" s="103"/>
    </row>
    <row r="1166" spans="1:31" ht="17.100000000000001" customHeight="1" x14ac:dyDescent="0.25">
      <c r="A1166" s="50">
        <v>46023</v>
      </c>
      <c r="B1166" s="53"/>
      <c r="C1166" s="55"/>
      <c r="D1166" s="56"/>
      <c r="E1166" s="57"/>
      <c r="F1166" s="55"/>
      <c r="G1166" s="57"/>
      <c r="H1166" s="58"/>
      <c r="I1166" s="26"/>
      <c r="J1166" s="61"/>
      <c r="K1166" s="64"/>
      <c r="L1166" s="11"/>
      <c r="M1166" s="53"/>
      <c r="N1166" s="42"/>
      <c r="O1166" s="43"/>
      <c r="P1166" s="36"/>
      <c r="Q1166" s="43"/>
      <c r="R1166" s="36"/>
      <c r="S1166" s="37"/>
      <c r="T1166" s="76">
        <f t="shared" ref="T1166" si="362">R1166-P1166</f>
        <v>0</v>
      </c>
      <c r="U1166" s="77"/>
      <c r="V1166" s="80"/>
      <c r="W1166" s="80"/>
      <c r="X1166" s="80"/>
      <c r="Y1166" s="83"/>
      <c r="Z1166" s="86"/>
      <c r="AA1166" s="48"/>
      <c r="AB1166" s="48"/>
      <c r="AC1166" s="96"/>
      <c r="AD1166" s="99"/>
      <c r="AE1166" s="101"/>
    </row>
    <row r="1167" spans="1:31" ht="17.100000000000001" customHeight="1" x14ac:dyDescent="0.25">
      <c r="A1167" s="51"/>
      <c r="B1167" s="54"/>
      <c r="C1167" s="68"/>
      <c r="D1167" s="69"/>
      <c r="E1167" s="70"/>
      <c r="F1167" s="68"/>
      <c r="G1167" s="70"/>
      <c r="H1167" s="59"/>
      <c r="I1167" s="24"/>
      <c r="J1167" s="62"/>
      <c r="K1167" s="65"/>
      <c r="L1167" s="17"/>
      <c r="M1167" s="54"/>
      <c r="N1167" s="44"/>
      <c r="O1167" s="45"/>
      <c r="P1167" s="38"/>
      <c r="Q1167" s="45"/>
      <c r="R1167" s="38"/>
      <c r="S1167" s="39"/>
      <c r="T1167" s="32"/>
      <c r="U1167" s="78"/>
      <c r="V1167" s="81"/>
      <c r="W1167" s="81"/>
      <c r="X1167" s="81"/>
      <c r="Y1167" s="84"/>
      <c r="Z1167" s="34"/>
      <c r="AA1167" s="29"/>
      <c r="AB1167" s="29"/>
      <c r="AC1167" s="97"/>
      <c r="AD1167" s="100"/>
      <c r="AE1167" s="102"/>
    </row>
    <row r="1168" spans="1:31" ht="17.100000000000001" customHeight="1" x14ac:dyDescent="0.25">
      <c r="A1168" s="51"/>
      <c r="B1168" s="66"/>
      <c r="C1168" s="68"/>
      <c r="D1168" s="69"/>
      <c r="E1168" s="70"/>
      <c r="F1168" s="68"/>
      <c r="G1168" s="70"/>
      <c r="H1168" s="59"/>
      <c r="I1168" s="27"/>
      <c r="J1168" s="63"/>
      <c r="K1168" s="71"/>
      <c r="L1168" s="18"/>
      <c r="M1168" s="66"/>
      <c r="N1168" s="46"/>
      <c r="O1168" s="47"/>
      <c r="P1168" s="40"/>
      <c r="Q1168" s="47"/>
      <c r="R1168" s="40"/>
      <c r="S1168" s="41"/>
      <c r="T1168" s="31">
        <f>(P1169-P1166)+(R1166-R1169)</f>
        <v>0</v>
      </c>
      <c r="U1168" s="78"/>
      <c r="V1168" s="81"/>
      <c r="W1168" s="81"/>
      <c r="X1168" s="81"/>
      <c r="Y1168" s="84"/>
      <c r="Z1168" s="87"/>
      <c r="AA1168" s="49"/>
      <c r="AB1168" s="49"/>
      <c r="AC1168" s="98"/>
      <c r="AD1168" s="104"/>
      <c r="AE1168" s="102"/>
    </row>
    <row r="1169" spans="1:31" ht="17.100000000000001" customHeight="1" x14ac:dyDescent="0.25">
      <c r="A1169" s="51"/>
      <c r="B1169" s="54"/>
      <c r="C1169" s="68"/>
      <c r="D1169" s="69"/>
      <c r="E1169" s="70"/>
      <c r="F1169" s="68"/>
      <c r="G1169" s="70"/>
      <c r="H1169" s="59"/>
      <c r="I1169" s="23"/>
      <c r="J1169" s="88"/>
      <c r="K1169" s="65"/>
      <c r="L1169" s="18"/>
      <c r="M1169" s="54"/>
      <c r="N1169" s="90">
        <f>(P1166-N1166)+(P1169-P1166)+(R1166-R1169)</f>
        <v>0</v>
      </c>
      <c r="O1169" s="91"/>
      <c r="P1169" s="90"/>
      <c r="Q1169" s="91"/>
      <c r="R1169" s="90"/>
      <c r="S1169" s="94"/>
      <c r="T1169" s="32"/>
      <c r="U1169" s="78"/>
      <c r="V1169" s="81"/>
      <c r="W1169" s="81"/>
      <c r="X1169" s="81"/>
      <c r="Y1169" s="84"/>
      <c r="Z1169" s="34"/>
      <c r="AA1169" s="28"/>
      <c r="AB1169" s="28"/>
      <c r="AC1169" s="97"/>
      <c r="AD1169" s="100"/>
      <c r="AE1169" s="102"/>
    </row>
    <row r="1170" spans="1:31" ht="17.100000000000001" customHeight="1" x14ac:dyDescent="0.25">
      <c r="A1170" s="51"/>
      <c r="B1170" s="66"/>
      <c r="C1170" s="68"/>
      <c r="D1170" s="69"/>
      <c r="E1170" s="70"/>
      <c r="F1170" s="68"/>
      <c r="G1170" s="70"/>
      <c r="H1170" s="59"/>
      <c r="I1170" s="24"/>
      <c r="J1170" s="62"/>
      <c r="K1170" s="71" t="s">
        <v>51</v>
      </c>
      <c r="L1170" s="16" t="s">
        <v>51</v>
      </c>
      <c r="M1170" s="66" t="s">
        <v>51</v>
      </c>
      <c r="N1170" s="38"/>
      <c r="O1170" s="45"/>
      <c r="P1170" s="38"/>
      <c r="Q1170" s="45"/>
      <c r="R1170" s="38"/>
      <c r="S1170" s="39"/>
      <c r="T1170" s="31">
        <f t="shared" ref="T1170" si="363">R1169-P1169</f>
        <v>0</v>
      </c>
      <c r="U1170" s="78"/>
      <c r="V1170" s="81"/>
      <c r="W1170" s="81"/>
      <c r="X1170" s="81"/>
      <c r="Y1170" s="84"/>
      <c r="Z1170" s="34"/>
      <c r="AA1170" s="29"/>
      <c r="AB1170" s="29"/>
      <c r="AC1170" s="97"/>
      <c r="AD1170" s="104"/>
      <c r="AE1170" s="102"/>
    </row>
    <row r="1171" spans="1:31" ht="17.100000000000001" customHeight="1" thickBot="1" x14ac:dyDescent="0.3">
      <c r="A1171" s="52"/>
      <c r="B1171" s="67"/>
      <c r="C1171" s="73"/>
      <c r="D1171" s="74"/>
      <c r="E1171" s="75"/>
      <c r="F1171" s="73"/>
      <c r="G1171" s="75"/>
      <c r="H1171" s="60"/>
      <c r="I1171" s="25"/>
      <c r="J1171" s="89"/>
      <c r="K1171" s="72"/>
      <c r="L1171" s="19" t="s">
        <v>52</v>
      </c>
      <c r="M1171" s="67"/>
      <c r="N1171" s="92"/>
      <c r="O1171" s="93"/>
      <c r="P1171" s="92"/>
      <c r="Q1171" s="93"/>
      <c r="R1171" s="92"/>
      <c r="S1171" s="95"/>
      <c r="T1171" s="33"/>
      <c r="U1171" s="79"/>
      <c r="V1171" s="82"/>
      <c r="W1171" s="82"/>
      <c r="X1171" s="82"/>
      <c r="Y1171" s="85"/>
      <c r="Z1171" s="35"/>
      <c r="AA1171" s="30"/>
      <c r="AB1171" s="30"/>
      <c r="AC1171" s="105"/>
      <c r="AD1171" s="106"/>
      <c r="AE1171" s="103"/>
    </row>
    <row r="1172" spans="1:31" ht="17.100000000000001" customHeight="1" x14ac:dyDescent="0.25">
      <c r="A1172" s="50">
        <v>46023</v>
      </c>
      <c r="B1172" s="53"/>
      <c r="C1172" s="55"/>
      <c r="D1172" s="56"/>
      <c r="E1172" s="57"/>
      <c r="F1172" s="55"/>
      <c r="G1172" s="57"/>
      <c r="H1172" s="58"/>
      <c r="I1172" s="26"/>
      <c r="J1172" s="61"/>
      <c r="K1172" s="64"/>
      <c r="L1172" s="11"/>
      <c r="M1172" s="53"/>
      <c r="N1172" s="42"/>
      <c r="O1172" s="43"/>
      <c r="P1172" s="36"/>
      <c r="Q1172" s="43"/>
      <c r="R1172" s="36"/>
      <c r="S1172" s="37"/>
      <c r="T1172" s="76">
        <f t="shared" ref="T1172" si="364">R1172-P1172</f>
        <v>0</v>
      </c>
      <c r="U1172" s="77"/>
      <c r="V1172" s="80"/>
      <c r="W1172" s="80"/>
      <c r="X1172" s="80"/>
      <c r="Y1172" s="83"/>
      <c r="Z1172" s="86"/>
      <c r="AA1172" s="48"/>
      <c r="AB1172" s="48"/>
      <c r="AC1172" s="96"/>
      <c r="AD1172" s="99"/>
      <c r="AE1172" s="101"/>
    </row>
    <row r="1173" spans="1:31" ht="17.100000000000001" customHeight="1" x14ac:dyDescent="0.25">
      <c r="A1173" s="51"/>
      <c r="B1173" s="54"/>
      <c r="C1173" s="68"/>
      <c r="D1173" s="69"/>
      <c r="E1173" s="70"/>
      <c r="F1173" s="68"/>
      <c r="G1173" s="70"/>
      <c r="H1173" s="59"/>
      <c r="I1173" s="24"/>
      <c r="J1173" s="62"/>
      <c r="K1173" s="65"/>
      <c r="L1173" s="17"/>
      <c r="M1173" s="54"/>
      <c r="N1173" s="44"/>
      <c r="O1173" s="45"/>
      <c r="P1173" s="38"/>
      <c r="Q1173" s="45"/>
      <c r="R1173" s="38"/>
      <c r="S1173" s="39"/>
      <c r="T1173" s="32"/>
      <c r="U1173" s="78"/>
      <c r="V1173" s="81"/>
      <c r="W1173" s="81"/>
      <c r="X1173" s="81"/>
      <c r="Y1173" s="84"/>
      <c r="Z1173" s="34"/>
      <c r="AA1173" s="29"/>
      <c r="AB1173" s="29"/>
      <c r="AC1173" s="97"/>
      <c r="AD1173" s="100"/>
      <c r="AE1173" s="102"/>
    </row>
    <row r="1174" spans="1:31" ht="17.100000000000001" customHeight="1" x14ac:dyDescent="0.25">
      <c r="A1174" s="51"/>
      <c r="B1174" s="66"/>
      <c r="C1174" s="68"/>
      <c r="D1174" s="69"/>
      <c r="E1174" s="70"/>
      <c r="F1174" s="68"/>
      <c r="G1174" s="70"/>
      <c r="H1174" s="59"/>
      <c r="I1174" s="27"/>
      <c r="J1174" s="63"/>
      <c r="K1174" s="71"/>
      <c r="L1174" s="18"/>
      <c r="M1174" s="66"/>
      <c r="N1174" s="46"/>
      <c r="O1174" s="47"/>
      <c r="P1174" s="40"/>
      <c r="Q1174" s="47"/>
      <c r="R1174" s="40"/>
      <c r="S1174" s="41"/>
      <c r="T1174" s="31">
        <f>(P1175-P1172)+(R1172-R1175)</f>
        <v>0</v>
      </c>
      <c r="U1174" s="78"/>
      <c r="V1174" s="81"/>
      <c r="W1174" s="81"/>
      <c r="X1174" s="81"/>
      <c r="Y1174" s="84"/>
      <c r="Z1174" s="87"/>
      <c r="AA1174" s="49"/>
      <c r="AB1174" s="49"/>
      <c r="AC1174" s="98"/>
      <c r="AD1174" s="104"/>
      <c r="AE1174" s="102"/>
    </row>
    <row r="1175" spans="1:31" ht="17.100000000000001" customHeight="1" x14ac:dyDescent="0.25">
      <c r="A1175" s="51"/>
      <c r="B1175" s="54"/>
      <c r="C1175" s="68"/>
      <c r="D1175" s="69"/>
      <c r="E1175" s="70"/>
      <c r="F1175" s="68"/>
      <c r="G1175" s="70"/>
      <c r="H1175" s="59"/>
      <c r="I1175" s="23"/>
      <c r="J1175" s="88"/>
      <c r="K1175" s="65"/>
      <c r="L1175" s="18"/>
      <c r="M1175" s="54"/>
      <c r="N1175" s="90">
        <f>(P1172-N1172)+(P1175-P1172)+(R1172-R1175)</f>
        <v>0</v>
      </c>
      <c r="O1175" s="91"/>
      <c r="P1175" s="90"/>
      <c r="Q1175" s="91"/>
      <c r="R1175" s="90"/>
      <c r="S1175" s="94"/>
      <c r="T1175" s="32"/>
      <c r="U1175" s="78"/>
      <c r="V1175" s="81"/>
      <c r="W1175" s="81"/>
      <c r="X1175" s="81"/>
      <c r="Y1175" s="84"/>
      <c r="Z1175" s="34"/>
      <c r="AA1175" s="28"/>
      <c r="AB1175" s="28"/>
      <c r="AC1175" s="97"/>
      <c r="AD1175" s="100"/>
      <c r="AE1175" s="102"/>
    </row>
    <row r="1176" spans="1:31" ht="17.100000000000001" customHeight="1" x14ac:dyDescent="0.25">
      <c r="A1176" s="51"/>
      <c r="B1176" s="66"/>
      <c r="C1176" s="68"/>
      <c r="D1176" s="69"/>
      <c r="E1176" s="70"/>
      <c r="F1176" s="68"/>
      <c r="G1176" s="70"/>
      <c r="H1176" s="59"/>
      <c r="I1176" s="24"/>
      <c r="J1176" s="62"/>
      <c r="K1176" s="71" t="s">
        <v>51</v>
      </c>
      <c r="L1176" s="16" t="s">
        <v>51</v>
      </c>
      <c r="M1176" s="66" t="s">
        <v>51</v>
      </c>
      <c r="N1176" s="38"/>
      <c r="O1176" s="45"/>
      <c r="P1176" s="38"/>
      <c r="Q1176" s="45"/>
      <c r="R1176" s="38"/>
      <c r="S1176" s="39"/>
      <c r="T1176" s="31">
        <f t="shared" ref="T1176" si="365">R1175-P1175</f>
        <v>0</v>
      </c>
      <c r="U1176" s="78"/>
      <c r="V1176" s="81"/>
      <c r="W1176" s="81"/>
      <c r="X1176" s="81"/>
      <c r="Y1176" s="84"/>
      <c r="Z1176" s="34"/>
      <c r="AA1176" s="29"/>
      <c r="AB1176" s="29"/>
      <c r="AC1176" s="97"/>
      <c r="AD1176" s="104"/>
      <c r="AE1176" s="102"/>
    </row>
    <row r="1177" spans="1:31" ht="17.100000000000001" customHeight="1" thickBot="1" x14ac:dyDescent="0.3">
      <c r="A1177" s="52"/>
      <c r="B1177" s="67"/>
      <c r="C1177" s="73"/>
      <c r="D1177" s="74"/>
      <c r="E1177" s="75"/>
      <c r="F1177" s="73"/>
      <c r="G1177" s="75"/>
      <c r="H1177" s="60"/>
      <c r="I1177" s="25"/>
      <c r="J1177" s="89"/>
      <c r="K1177" s="72"/>
      <c r="L1177" s="19" t="s">
        <v>52</v>
      </c>
      <c r="M1177" s="67"/>
      <c r="N1177" s="92"/>
      <c r="O1177" s="93"/>
      <c r="P1177" s="92"/>
      <c r="Q1177" s="93"/>
      <c r="R1177" s="92"/>
      <c r="S1177" s="95"/>
      <c r="T1177" s="33"/>
      <c r="U1177" s="79"/>
      <c r="V1177" s="82"/>
      <c r="W1177" s="82"/>
      <c r="X1177" s="82"/>
      <c r="Y1177" s="85"/>
      <c r="Z1177" s="35"/>
      <c r="AA1177" s="30"/>
      <c r="AB1177" s="30"/>
      <c r="AC1177" s="105"/>
      <c r="AD1177" s="106"/>
      <c r="AE1177" s="103"/>
    </row>
    <row r="1178" spans="1:31" ht="17.100000000000001" customHeight="1" x14ac:dyDescent="0.25">
      <c r="A1178" s="50">
        <v>46023</v>
      </c>
      <c r="B1178" s="53"/>
      <c r="C1178" s="55"/>
      <c r="D1178" s="56"/>
      <c r="E1178" s="57"/>
      <c r="F1178" s="55"/>
      <c r="G1178" s="57"/>
      <c r="H1178" s="58"/>
      <c r="I1178" s="26"/>
      <c r="J1178" s="61"/>
      <c r="K1178" s="64"/>
      <c r="L1178" s="11"/>
      <c r="M1178" s="53"/>
      <c r="N1178" s="42"/>
      <c r="O1178" s="43"/>
      <c r="P1178" s="36"/>
      <c r="Q1178" s="43"/>
      <c r="R1178" s="36"/>
      <c r="S1178" s="37"/>
      <c r="T1178" s="76">
        <f t="shared" ref="T1178" si="366">R1178-P1178</f>
        <v>0</v>
      </c>
      <c r="U1178" s="77"/>
      <c r="V1178" s="80"/>
      <c r="W1178" s="80"/>
      <c r="X1178" s="80"/>
      <c r="Y1178" s="83"/>
      <c r="Z1178" s="86"/>
      <c r="AA1178" s="48"/>
      <c r="AB1178" s="48"/>
      <c r="AC1178" s="96"/>
      <c r="AD1178" s="99"/>
      <c r="AE1178" s="101"/>
    </row>
    <row r="1179" spans="1:31" ht="17.100000000000001" customHeight="1" x14ac:dyDescent="0.25">
      <c r="A1179" s="51"/>
      <c r="B1179" s="54"/>
      <c r="C1179" s="68"/>
      <c r="D1179" s="69"/>
      <c r="E1179" s="70"/>
      <c r="F1179" s="68"/>
      <c r="G1179" s="70"/>
      <c r="H1179" s="59"/>
      <c r="I1179" s="24"/>
      <c r="J1179" s="62"/>
      <c r="K1179" s="65"/>
      <c r="L1179" s="17"/>
      <c r="M1179" s="54"/>
      <c r="N1179" s="44"/>
      <c r="O1179" s="45"/>
      <c r="P1179" s="38"/>
      <c r="Q1179" s="45"/>
      <c r="R1179" s="38"/>
      <c r="S1179" s="39"/>
      <c r="T1179" s="32"/>
      <c r="U1179" s="78"/>
      <c r="V1179" s="81"/>
      <c r="W1179" s="81"/>
      <c r="X1179" s="81"/>
      <c r="Y1179" s="84"/>
      <c r="Z1179" s="34"/>
      <c r="AA1179" s="29"/>
      <c r="AB1179" s="29"/>
      <c r="AC1179" s="97"/>
      <c r="AD1179" s="100"/>
      <c r="AE1179" s="102"/>
    </row>
    <row r="1180" spans="1:31" ht="17.100000000000001" customHeight="1" x14ac:dyDescent="0.25">
      <c r="A1180" s="51"/>
      <c r="B1180" s="66"/>
      <c r="C1180" s="68"/>
      <c r="D1180" s="69"/>
      <c r="E1180" s="70"/>
      <c r="F1180" s="68"/>
      <c r="G1180" s="70"/>
      <c r="H1180" s="59"/>
      <c r="I1180" s="27"/>
      <c r="J1180" s="63"/>
      <c r="K1180" s="71"/>
      <c r="L1180" s="18"/>
      <c r="M1180" s="66"/>
      <c r="N1180" s="46"/>
      <c r="O1180" s="47"/>
      <c r="P1180" s="40"/>
      <c r="Q1180" s="47"/>
      <c r="R1180" s="40"/>
      <c r="S1180" s="41"/>
      <c r="T1180" s="31">
        <f>(P1181-P1178)+(R1178-R1181)</f>
        <v>0</v>
      </c>
      <c r="U1180" s="78"/>
      <c r="V1180" s="81"/>
      <c r="W1180" s="81"/>
      <c r="X1180" s="81"/>
      <c r="Y1180" s="84"/>
      <c r="Z1180" s="87"/>
      <c r="AA1180" s="49"/>
      <c r="AB1180" s="49"/>
      <c r="AC1180" s="98"/>
      <c r="AD1180" s="104"/>
      <c r="AE1180" s="102"/>
    </row>
    <row r="1181" spans="1:31" ht="17.100000000000001" customHeight="1" x14ac:dyDescent="0.25">
      <c r="A1181" s="51"/>
      <c r="B1181" s="54"/>
      <c r="C1181" s="68"/>
      <c r="D1181" s="69"/>
      <c r="E1181" s="70"/>
      <c r="F1181" s="68"/>
      <c r="G1181" s="70"/>
      <c r="H1181" s="59"/>
      <c r="I1181" s="23"/>
      <c r="J1181" s="88"/>
      <c r="K1181" s="65"/>
      <c r="L1181" s="18"/>
      <c r="M1181" s="54"/>
      <c r="N1181" s="90">
        <f>(P1178-N1178)+(P1181-P1178)+(R1178-R1181)</f>
        <v>0</v>
      </c>
      <c r="O1181" s="91"/>
      <c r="P1181" s="90"/>
      <c r="Q1181" s="91"/>
      <c r="R1181" s="90"/>
      <c r="S1181" s="94"/>
      <c r="T1181" s="32"/>
      <c r="U1181" s="78"/>
      <c r="V1181" s="81"/>
      <c r="W1181" s="81"/>
      <c r="X1181" s="81"/>
      <c r="Y1181" s="84"/>
      <c r="Z1181" s="34"/>
      <c r="AA1181" s="28"/>
      <c r="AB1181" s="28"/>
      <c r="AC1181" s="97"/>
      <c r="AD1181" s="100"/>
      <c r="AE1181" s="102"/>
    </row>
    <row r="1182" spans="1:31" ht="17.100000000000001" customHeight="1" x14ac:dyDescent="0.25">
      <c r="A1182" s="51"/>
      <c r="B1182" s="66"/>
      <c r="C1182" s="68"/>
      <c r="D1182" s="69"/>
      <c r="E1182" s="70"/>
      <c r="F1182" s="68"/>
      <c r="G1182" s="70"/>
      <c r="H1182" s="59"/>
      <c r="I1182" s="24"/>
      <c r="J1182" s="62"/>
      <c r="K1182" s="71" t="s">
        <v>51</v>
      </c>
      <c r="L1182" s="16" t="s">
        <v>51</v>
      </c>
      <c r="M1182" s="66" t="s">
        <v>51</v>
      </c>
      <c r="N1182" s="38"/>
      <c r="O1182" s="45"/>
      <c r="P1182" s="38"/>
      <c r="Q1182" s="45"/>
      <c r="R1182" s="38"/>
      <c r="S1182" s="39"/>
      <c r="T1182" s="31">
        <f t="shared" ref="T1182" si="367">R1181-P1181</f>
        <v>0</v>
      </c>
      <c r="U1182" s="78"/>
      <c r="V1182" s="81"/>
      <c r="W1182" s="81"/>
      <c r="X1182" s="81"/>
      <c r="Y1182" s="84"/>
      <c r="Z1182" s="34"/>
      <c r="AA1182" s="29"/>
      <c r="AB1182" s="29"/>
      <c r="AC1182" s="97"/>
      <c r="AD1182" s="104"/>
      <c r="AE1182" s="102"/>
    </row>
    <row r="1183" spans="1:31" ht="17.100000000000001" customHeight="1" thickBot="1" x14ac:dyDescent="0.3">
      <c r="A1183" s="52"/>
      <c r="B1183" s="67"/>
      <c r="C1183" s="73"/>
      <c r="D1183" s="74"/>
      <c r="E1183" s="75"/>
      <c r="F1183" s="73"/>
      <c r="G1183" s="75"/>
      <c r="H1183" s="60"/>
      <c r="I1183" s="25"/>
      <c r="J1183" s="89"/>
      <c r="K1183" s="72"/>
      <c r="L1183" s="19" t="s">
        <v>52</v>
      </c>
      <c r="M1183" s="67"/>
      <c r="N1183" s="92"/>
      <c r="O1183" s="93"/>
      <c r="P1183" s="92"/>
      <c r="Q1183" s="93"/>
      <c r="R1183" s="92"/>
      <c r="S1183" s="95"/>
      <c r="T1183" s="33"/>
      <c r="U1183" s="79"/>
      <c r="V1183" s="82"/>
      <c r="W1183" s="82"/>
      <c r="X1183" s="82"/>
      <c r="Y1183" s="85"/>
      <c r="Z1183" s="35"/>
      <c r="AA1183" s="30"/>
      <c r="AB1183" s="30"/>
      <c r="AC1183" s="105"/>
      <c r="AD1183" s="106"/>
      <c r="AE1183" s="103"/>
    </row>
    <row r="1185" spans="1:31" ht="17.100000000000001" customHeight="1" thickBot="1" x14ac:dyDescent="0.3"/>
    <row r="1186" spans="1:31" ht="17.100000000000001" customHeight="1" x14ac:dyDescent="0.25">
      <c r="A1186" s="50">
        <v>46023</v>
      </c>
      <c r="B1186" s="53"/>
      <c r="C1186" s="55"/>
      <c r="D1186" s="56"/>
      <c r="E1186" s="57"/>
      <c r="F1186" s="55"/>
      <c r="G1186" s="57"/>
      <c r="H1186" s="58"/>
      <c r="I1186" s="26"/>
      <c r="J1186" s="61"/>
      <c r="K1186" s="64"/>
      <c r="L1186" s="11"/>
      <c r="M1186" s="53"/>
      <c r="N1186" s="42"/>
      <c r="O1186" s="43"/>
      <c r="P1186" s="36"/>
      <c r="Q1186" s="43"/>
      <c r="R1186" s="36"/>
      <c r="S1186" s="37"/>
      <c r="T1186" s="76">
        <f t="shared" ref="T1186" si="368">R1186-P1186</f>
        <v>0</v>
      </c>
      <c r="U1186" s="77"/>
      <c r="V1186" s="80"/>
      <c r="W1186" s="80"/>
      <c r="X1186" s="80"/>
      <c r="Y1186" s="83"/>
      <c r="Z1186" s="86"/>
      <c r="AA1186" s="48"/>
      <c r="AB1186" s="48"/>
      <c r="AC1186" s="96"/>
      <c r="AD1186" s="99"/>
      <c r="AE1186" s="101"/>
    </row>
    <row r="1187" spans="1:31" ht="17.100000000000001" customHeight="1" x14ac:dyDescent="0.25">
      <c r="A1187" s="51"/>
      <c r="B1187" s="54"/>
      <c r="C1187" s="68"/>
      <c r="D1187" s="69"/>
      <c r="E1187" s="70"/>
      <c r="F1187" s="68"/>
      <c r="G1187" s="70"/>
      <c r="H1187" s="59"/>
      <c r="I1187" s="24"/>
      <c r="J1187" s="62"/>
      <c r="K1187" s="65"/>
      <c r="L1187" s="17"/>
      <c r="M1187" s="54"/>
      <c r="N1187" s="44"/>
      <c r="O1187" s="45"/>
      <c r="P1187" s="38"/>
      <c r="Q1187" s="45"/>
      <c r="R1187" s="38"/>
      <c r="S1187" s="39"/>
      <c r="T1187" s="32"/>
      <c r="U1187" s="78"/>
      <c r="V1187" s="81"/>
      <c r="W1187" s="81"/>
      <c r="X1187" s="81"/>
      <c r="Y1187" s="84"/>
      <c r="Z1187" s="34"/>
      <c r="AA1187" s="29"/>
      <c r="AB1187" s="29"/>
      <c r="AC1187" s="97"/>
      <c r="AD1187" s="100"/>
      <c r="AE1187" s="102"/>
    </row>
    <row r="1188" spans="1:31" ht="17.100000000000001" customHeight="1" x14ac:dyDescent="0.25">
      <c r="A1188" s="51"/>
      <c r="B1188" s="66"/>
      <c r="C1188" s="68"/>
      <c r="D1188" s="69"/>
      <c r="E1188" s="70"/>
      <c r="F1188" s="68"/>
      <c r="G1188" s="70"/>
      <c r="H1188" s="59"/>
      <c r="I1188" s="27"/>
      <c r="J1188" s="63"/>
      <c r="K1188" s="71"/>
      <c r="L1188" s="18"/>
      <c r="M1188" s="66"/>
      <c r="N1188" s="46"/>
      <c r="O1188" s="47"/>
      <c r="P1188" s="40"/>
      <c r="Q1188" s="47"/>
      <c r="R1188" s="40"/>
      <c r="S1188" s="41"/>
      <c r="T1188" s="31">
        <f>(P1189-P1186)+(R1186-R1189)</f>
        <v>0</v>
      </c>
      <c r="U1188" s="78"/>
      <c r="V1188" s="81"/>
      <c r="W1188" s="81"/>
      <c r="X1188" s="81"/>
      <c r="Y1188" s="84"/>
      <c r="Z1188" s="87"/>
      <c r="AA1188" s="49"/>
      <c r="AB1188" s="49"/>
      <c r="AC1188" s="98"/>
      <c r="AD1188" s="104"/>
      <c r="AE1188" s="102"/>
    </row>
    <row r="1189" spans="1:31" ht="17.100000000000001" customHeight="1" x14ac:dyDescent="0.25">
      <c r="A1189" s="51"/>
      <c r="B1189" s="54"/>
      <c r="C1189" s="68"/>
      <c r="D1189" s="69"/>
      <c r="E1189" s="70"/>
      <c r="F1189" s="68"/>
      <c r="G1189" s="70"/>
      <c r="H1189" s="59"/>
      <c r="I1189" s="23"/>
      <c r="J1189" s="88"/>
      <c r="K1189" s="65"/>
      <c r="L1189" s="18"/>
      <c r="M1189" s="54"/>
      <c r="N1189" s="90">
        <f>(P1186-N1186)+(P1189-P1186)+(R1186-R1189)</f>
        <v>0</v>
      </c>
      <c r="O1189" s="91"/>
      <c r="P1189" s="90"/>
      <c r="Q1189" s="91"/>
      <c r="R1189" s="90"/>
      <c r="S1189" s="94"/>
      <c r="T1189" s="32"/>
      <c r="U1189" s="78"/>
      <c r="V1189" s="81"/>
      <c r="W1189" s="81"/>
      <c r="X1189" s="81"/>
      <c r="Y1189" s="84"/>
      <c r="Z1189" s="34"/>
      <c r="AA1189" s="28"/>
      <c r="AB1189" s="28"/>
      <c r="AC1189" s="97"/>
      <c r="AD1189" s="100"/>
      <c r="AE1189" s="102"/>
    </row>
    <row r="1190" spans="1:31" ht="17.100000000000001" customHeight="1" x14ac:dyDescent="0.25">
      <c r="A1190" s="51"/>
      <c r="B1190" s="66"/>
      <c r="C1190" s="68"/>
      <c r="D1190" s="69"/>
      <c r="E1190" s="70"/>
      <c r="F1190" s="68"/>
      <c r="G1190" s="70"/>
      <c r="H1190" s="59"/>
      <c r="I1190" s="24"/>
      <c r="J1190" s="62"/>
      <c r="K1190" s="71" t="s">
        <v>51</v>
      </c>
      <c r="L1190" s="16" t="s">
        <v>51</v>
      </c>
      <c r="M1190" s="66" t="s">
        <v>51</v>
      </c>
      <c r="N1190" s="38"/>
      <c r="O1190" s="45"/>
      <c r="P1190" s="38"/>
      <c r="Q1190" s="45"/>
      <c r="R1190" s="38"/>
      <c r="S1190" s="39"/>
      <c r="T1190" s="31">
        <f t="shared" ref="T1190" si="369">R1189-P1189</f>
        <v>0</v>
      </c>
      <c r="U1190" s="78"/>
      <c r="V1190" s="81"/>
      <c r="W1190" s="81"/>
      <c r="X1190" s="81"/>
      <c r="Y1190" s="84"/>
      <c r="Z1190" s="34"/>
      <c r="AA1190" s="29"/>
      <c r="AB1190" s="29"/>
      <c r="AC1190" s="97"/>
      <c r="AD1190" s="104"/>
      <c r="AE1190" s="102"/>
    </row>
    <row r="1191" spans="1:31" ht="17.100000000000001" customHeight="1" thickBot="1" x14ac:dyDescent="0.3">
      <c r="A1191" s="52"/>
      <c r="B1191" s="67"/>
      <c r="C1191" s="73"/>
      <c r="D1191" s="74"/>
      <c r="E1191" s="75"/>
      <c r="F1191" s="73"/>
      <c r="G1191" s="75"/>
      <c r="H1191" s="60"/>
      <c r="I1191" s="25"/>
      <c r="J1191" s="89"/>
      <c r="K1191" s="72"/>
      <c r="L1191" s="19" t="s">
        <v>52</v>
      </c>
      <c r="M1191" s="67"/>
      <c r="N1191" s="92"/>
      <c r="O1191" s="93"/>
      <c r="P1191" s="92"/>
      <c r="Q1191" s="93"/>
      <c r="R1191" s="92"/>
      <c r="S1191" s="95"/>
      <c r="T1191" s="33"/>
      <c r="U1191" s="79"/>
      <c r="V1191" s="82"/>
      <c r="W1191" s="82"/>
      <c r="X1191" s="82"/>
      <c r="Y1191" s="85"/>
      <c r="Z1191" s="35"/>
      <c r="AA1191" s="30"/>
      <c r="AB1191" s="30"/>
      <c r="AC1191" s="105"/>
      <c r="AD1191" s="106"/>
      <c r="AE1191" s="103"/>
    </row>
    <row r="1192" spans="1:31" ht="17.100000000000001" customHeight="1" x14ac:dyDescent="0.25">
      <c r="A1192" s="50">
        <v>46023</v>
      </c>
      <c r="B1192" s="53"/>
      <c r="C1192" s="55"/>
      <c r="D1192" s="56"/>
      <c r="E1192" s="57"/>
      <c r="F1192" s="55"/>
      <c r="G1192" s="57"/>
      <c r="H1192" s="58"/>
      <c r="I1192" s="26"/>
      <c r="J1192" s="61"/>
      <c r="K1192" s="64"/>
      <c r="L1192" s="11"/>
      <c r="M1192" s="53"/>
      <c r="N1192" s="42"/>
      <c r="O1192" s="43"/>
      <c r="P1192" s="36"/>
      <c r="Q1192" s="43"/>
      <c r="R1192" s="36"/>
      <c r="S1192" s="37"/>
      <c r="T1192" s="76">
        <f t="shared" ref="T1192" si="370">R1192-P1192</f>
        <v>0</v>
      </c>
      <c r="U1192" s="77"/>
      <c r="V1192" s="80"/>
      <c r="W1192" s="80"/>
      <c r="X1192" s="80"/>
      <c r="Y1192" s="83"/>
      <c r="Z1192" s="86"/>
      <c r="AA1192" s="48"/>
      <c r="AB1192" s="48"/>
      <c r="AC1192" s="96"/>
      <c r="AD1192" s="99"/>
      <c r="AE1192" s="101"/>
    </row>
    <row r="1193" spans="1:31" ht="17.100000000000001" customHeight="1" x14ac:dyDescent="0.25">
      <c r="A1193" s="51"/>
      <c r="B1193" s="54"/>
      <c r="C1193" s="68"/>
      <c r="D1193" s="69"/>
      <c r="E1193" s="70"/>
      <c r="F1193" s="68"/>
      <c r="G1193" s="70"/>
      <c r="H1193" s="59"/>
      <c r="I1193" s="24"/>
      <c r="J1193" s="62"/>
      <c r="K1193" s="65"/>
      <c r="L1193" s="17"/>
      <c r="M1193" s="54"/>
      <c r="N1193" s="44"/>
      <c r="O1193" s="45"/>
      <c r="P1193" s="38"/>
      <c r="Q1193" s="45"/>
      <c r="R1193" s="38"/>
      <c r="S1193" s="39"/>
      <c r="T1193" s="32"/>
      <c r="U1193" s="78"/>
      <c r="V1193" s="81"/>
      <c r="W1193" s="81"/>
      <c r="X1193" s="81"/>
      <c r="Y1193" s="84"/>
      <c r="Z1193" s="34"/>
      <c r="AA1193" s="29"/>
      <c r="AB1193" s="29"/>
      <c r="AC1193" s="97"/>
      <c r="AD1193" s="100"/>
      <c r="AE1193" s="102"/>
    </row>
    <row r="1194" spans="1:31" ht="17.100000000000001" customHeight="1" x14ac:dyDescent="0.25">
      <c r="A1194" s="51"/>
      <c r="B1194" s="66"/>
      <c r="C1194" s="68"/>
      <c r="D1194" s="69"/>
      <c r="E1194" s="70"/>
      <c r="F1194" s="68"/>
      <c r="G1194" s="70"/>
      <c r="H1194" s="59"/>
      <c r="I1194" s="27"/>
      <c r="J1194" s="63"/>
      <c r="K1194" s="71"/>
      <c r="L1194" s="18"/>
      <c r="M1194" s="66"/>
      <c r="N1194" s="46"/>
      <c r="O1194" s="47"/>
      <c r="P1194" s="40"/>
      <c r="Q1194" s="47"/>
      <c r="R1194" s="40"/>
      <c r="S1194" s="41"/>
      <c r="T1194" s="31">
        <f>(P1195-P1192)+(R1192-R1195)</f>
        <v>0</v>
      </c>
      <c r="U1194" s="78"/>
      <c r="V1194" s="81"/>
      <c r="W1194" s="81"/>
      <c r="X1194" s="81"/>
      <c r="Y1194" s="84"/>
      <c r="Z1194" s="87"/>
      <c r="AA1194" s="49"/>
      <c r="AB1194" s="49"/>
      <c r="AC1194" s="98"/>
      <c r="AD1194" s="104"/>
      <c r="AE1194" s="102"/>
    </row>
    <row r="1195" spans="1:31" ht="17.100000000000001" customHeight="1" x14ac:dyDescent="0.25">
      <c r="A1195" s="51"/>
      <c r="B1195" s="54"/>
      <c r="C1195" s="68"/>
      <c r="D1195" s="69"/>
      <c r="E1195" s="70"/>
      <c r="F1195" s="68"/>
      <c r="G1195" s="70"/>
      <c r="H1195" s="59"/>
      <c r="I1195" s="23"/>
      <c r="J1195" s="88"/>
      <c r="K1195" s="65"/>
      <c r="L1195" s="18"/>
      <c r="M1195" s="54"/>
      <c r="N1195" s="90">
        <f>(P1192-N1192)+(P1195-P1192)+(R1192-R1195)</f>
        <v>0</v>
      </c>
      <c r="O1195" s="91"/>
      <c r="P1195" s="90"/>
      <c r="Q1195" s="91"/>
      <c r="R1195" s="90"/>
      <c r="S1195" s="94"/>
      <c r="T1195" s="32"/>
      <c r="U1195" s="78"/>
      <c r="V1195" s="81"/>
      <c r="W1195" s="81"/>
      <c r="X1195" s="81"/>
      <c r="Y1195" s="84"/>
      <c r="Z1195" s="34"/>
      <c r="AA1195" s="28"/>
      <c r="AB1195" s="28"/>
      <c r="AC1195" s="97"/>
      <c r="AD1195" s="100"/>
      <c r="AE1195" s="102"/>
    </row>
    <row r="1196" spans="1:31" ht="17.100000000000001" customHeight="1" x14ac:dyDescent="0.25">
      <c r="A1196" s="51"/>
      <c r="B1196" s="66"/>
      <c r="C1196" s="68"/>
      <c r="D1196" s="69"/>
      <c r="E1196" s="70"/>
      <c r="F1196" s="68"/>
      <c r="G1196" s="70"/>
      <c r="H1196" s="59"/>
      <c r="I1196" s="24"/>
      <c r="J1196" s="62"/>
      <c r="K1196" s="71" t="s">
        <v>51</v>
      </c>
      <c r="L1196" s="16" t="s">
        <v>51</v>
      </c>
      <c r="M1196" s="66" t="s">
        <v>51</v>
      </c>
      <c r="N1196" s="38"/>
      <c r="O1196" s="45"/>
      <c r="P1196" s="38"/>
      <c r="Q1196" s="45"/>
      <c r="R1196" s="38"/>
      <c r="S1196" s="39"/>
      <c r="T1196" s="31">
        <f t="shared" ref="T1196" si="371">R1195-P1195</f>
        <v>0</v>
      </c>
      <c r="U1196" s="78"/>
      <c r="V1196" s="81"/>
      <c r="W1196" s="81"/>
      <c r="X1196" s="81"/>
      <c r="Y1196" s="84"/>
      <c r="Z1196" s="34"/>
      <c r="AA1196" s="29"/>
      <c r="AB1196" s="29"/>
      <c r="AC1196" s="97"/>
      <c r="AD1196" s="104"/>
      <c r="AE1196" s="102"/>
    </row>
    <row r="1197" spans="1:31" ht="17.100000000000001" customHeight="1" thickBot="1" x14ac:dyDescent="0.3">
      <c r="A1197" s="52"/>
      <c r="B1197" s="67"/>
      <c r="C1197" s="73"/>
      <c r="D1197" s="74"/>
      <c r="E1197" s="75"/>
      <c r="F1197" s="73"/>
      <c r="G1197" s="75"/>
      <c r="H1197" s="60"/>
      <c r="I1197" s="25"/>
      <c r="J1197" s="89"/>
      <c r="K1197" s="72"/>
      <c r="L1197" s="19" t="s">
        <v>52</v>
      </c>
      <c r="M1197" s="67"/>
      <c r="N1197" s="92"/>
      <c r="O1197" s="93"/>
      <c r="P1197" s="92"/>
      <c r="Q1197" s="93"/>
      <c r="R1197" s="92"/>
      <c r="S1197" s="95"/>
      <c r="T1197" s="33"/>
      <c r="U1197" s="79"/>
      <c r="V1197" s="82"/>
      <c r="W1197" s="82"/>
      <c r="X1197" s="82"/>
      <c r="Y1197" s="85"/>
      <c r="Z1197" s="35"/>
      <c r="AA1197" s="30"/>
      <c r="AB1197" s="30"/>
      <c r="AC1197" s="105"/>
      <c r="AD1197" s="106"/>
      <c r="AE1197" s="103"/>
    </row>
    <row r="1198" spans="1:31" ht="17.100000000000001" customHeight="1" x14ac:dyDescent="0.25">
      <c r="A1198" s="50">
        <v>46023</v>
      </c>
      <c r="B1198" s="53"/>
      <c r="C1198" s="55"/>
      <c r="D1198" s="56"/>
      <c r="E1198" s="57"/>
      <c r="F1198" s="55"/>
      <c r="G1198" s="57"/>
      <c r="H1198" s="58"/>
      <c r="I1198" s="26"/>
      <c r="J1198" s="61"/>
      <c r="K1198" s="64"/>
      <c r="L1198" s="11"/>
      <c r="M1198" s="53"/>
      <c r="N1198" s="42"/>
      <c r="O1198" s="43"/>
      <c r="P1198" s="36"/>
      <c r="Q1198" s="43"/>
      <c r="R1198" s="36"/>
      <c r="S1198" s="37"/>
      <c r="T1198" s="76">
        <f t="shared" ref="T1198" si="372">R1198-P1198</f>
        <v>0</v>
      </c>
      <c r="U1198" s="77"/>
      <c r="V1198" s="80"/>
      <c r="W1198" s="80"/>
      <c r="X1198" s="80"/>
      <c r="Y1198" s="83"/>
      <c r="Z1198" s="86"/>
      <c r="AA1198" s="48"/>
      <c r="AB1198" s="48"/>
      <c r="AC1198" s="96"/>
      <c r="AD1198" s="99"/>
      <c r="AE1198" s="101"/>
    </row>
    <row r="1199" spans="1:31" ht="17.100000000000001" customHeight="1" x14ac:dyDescent="0.25">
      <c r="A1199" s="51"/>
      <c r="B1199" s="54"/>
      <c r="C1199" s="68"/>
      <c r="D1199" s="69"/>
      <c r="E1199" s="70"/>
      <c r="F1199" s="68"/>
      <c r="G1199" s="70"/>
      <c r="H1199" s="59"/>
      <c r="I1199" s="24"/>
      <c r="J1199" s="62"/>
      <c r="K1199" s="65"/>
      <c r="L1199" s="17"/>
      <c r="M1199" s="54"/>
      <c r="N1199" s="44"/>
      <c r="O1199" s="45"/>
      <c r="P1199" s="38"/>
      <c r="Q1199" s="45"/>
      <c r="R1199" s="38"/>
      <c r="S1199" s="39"/>
      <c r="T1199" s="32"/>
      <c r="U1199" s="78"/>
      <c r="V1199" s="81"/>
      <c r="W1199" s="81"/>
      <c r="X1199" s="81"/>
      <c r="Y1199" s="84"/>
      <c r="Z1199" s="34"/>
      <c r="AA1199" s="29"/>
      <c r="AB1199" s="29"/>
      <c r="AC1199" s="97"/>
      <c r="AD1199" s="100"/>
      <c r="AE1199" s="102"/>
    </row>
    <row r="1200" spans="1:31" ht="17.100000000000001" customHeight="1" x14ac:dyDescent="0.25">
      <c r="A1200" s="51"/>
      <c r="B1200" s="66"/>
      <c r="C1200" s="68"/>
      <c r="D1200" s="69"/>
      <c r="E1200" s="70"/>
      <c r="F1200" s="68"/>
      <c r="G1200" s="70"/>
      <c r="H1200" s="59"/>
      <c r="I1200" s="27"/>
      <c r="J1200" s="63"/>
      <c r="K1200" s="71"/>
      <c r="L1200" s="18"/>
      <c r="M1200" s="66"/>
      <c r="N1200" s="46"/>
      <c r="O1200" s="47"/>
      <c r="P1200" s="40"/>
      <c r="Q1200" s="47"/>
      <c r="R1200" s="40"/>
      <c r="S1200" s="41"/>
      <c r="T1200" s="31">
        <f>(P1201-P1198)+(R1198-R1201)</f>
        <v>0</v>
      </c>
      <c r="U1200" s="78"/>
      <c r="V1200" s="81"/>
      <c r="W1200" s="81"/>
      <c r="X1200" s="81"/>
      <c r="Y1200" s="84"/>
      <c r="Z1200" s="87"/>
      <c r="AA1200" s="49"/>
      <c r="AB1200" s="49"/>
      <c r="AC1200" s="98"/>
      <c r="AD1200" s="104"/>
      <c r="AE1200" s="102"/>
    </row>
    <row r="1201" spans="1:31" ht="17.100000000000001" customHeight="1" x14ac:dyDescent="0.25">
      <c r="A1201" s="51"/>
      <c r="B1201" s="54"/>
      <c r="C1201" s="68"/>
      <c r="D1201" s="69"/>
      <c r="E1201" s="70"/>
      <c r="F1201" s="68"/>
      <c r="G1201" s="70"/>
      <c r="H1201" s="59"/>
      <c r="I1201" s="23"/>
      <c r="J1201" s="88"/>
      <c r="K1201" s="65"/>
      <c r="L1201" s="18"/>
      <c r="M1201" s="54"/>
      <c r="N1201" s="90">
        <f>(P1198-N1198)+(P1201-P1198)+(R1198-R1201)</f>
        <v>0</v>
      </c>
      <c r="O1201" s="91"/>
      <c r="P1201" s="90"/>
      <c r="Q1201" s="91"/>
      <c r="R1201" s="90"/>
      <c r="S1201" s="94"/>
      <c r="T1201" s="32"/>
      <c r="U1201" s="78"/>
      <c r="V1201" s="81"/>
      <c r="W1201" s="81"/>
      <c r="X1201" s="81"/>
      <c r="Y1201" s="84"/>
      <c r="Z1201" s="34"/>
      <c r="AA1201" s="28"/>
      <c r="AB1201" s="28"/>
      <c r="AC1201" s="97"/>
      <c r="AD1201" s="100"/>
      <c r="AE1201" s="102"/>
    </row>
    <row r="1202" spans="1:31" ht="17.100000000000001" customHeight="1" x14ac:dyDescent="0.25">
      <c r="A1202" s="51"/>
      <c r="B1202" s="66"/>
      <c r="C1202" s="68"/>
      <c r="D1202" s="69"/>
      <c r="E1202" s="70"/>
      <c r="F1202" s="68"/>
      <c r="G1202" s="70"/>
      <c r="H1202" s="59"/>
      <c r="I1202" s="24"/>
      <c r="J1202" s="62"/>
      <c r="K1202" s="71" t="s">
        <v>51</v>
      </c>
      <c r="L1202" s="16" t="s">
        <v>51</v>
      </c>
      <c r="M1202" s="66" t="s">
        <v>51</v>
      </c>
      <c r="N1202" s="38"/>
      <c r="O1202" s="45"/>
      <c r="P1202" s="38"/>
      <c r="Q1202" s="45"/>
      <c r="R1202" s="38"/>
      <c r="S1202" s="39"/>
      <c r="T1202" s="31">
        <f t="shared" ref="T1202" si="373">R1201-P1201</f>
        <v>0</v>
      </c>
      <c r="U1202" s="78"/>
      <c r="V1202" s="81"/>
      <c r="W1202" s="81"/>
      <c r="X1202" s="81"/>
      <c r="Y1202" s="84"/>
      <c r="Z1202" s="34"/>
      <c r="AA1202" s="29"/>
      <c r="AB1202" s="29"/>
      <c r="AC1202" s="97"/>
      <c r="AD1202" s="104"/>
      <c r="AE1202" s="102"/>
    </row>
    <row r="1203" spans="1:31" ht="17.100000000000001" customHeight="1" thickBot="1" x14ac:dyDescent="0.3">
      <c r="A1203" s="52"/>
      <c r="B1203" s="67"/>
      <c r="C1203" s="73"/>
      <c r="D1203" s="74"/>
      <c r="E1203" s="75"/>
      <c r="F1203" s="73"/>
      <c r="G1203" s="75"/>
      <c r="H1203" s="60"/>
      <c r="I1203" s="25"/>
      <c r="J1203" s="89"/>
      <c r="K1203" s="72"/>
      <c r="L1203" s="19" t="s">
        <v>52</v>
      </c>
      <c r="M1203" s="67"/>
      <c r="N1203" s="92"/>
      <c r="O1203" s="93"/>
      <c r="P1203" s="92"/>
      <c r="Q1203" s="93"/>
      <c r="R1203" s="92"/>
      <c r="S1203" s="95"/>
      <c r="T1203" s="33"/>
      <c r="U1203" s="79"/>
      <c r="V1203" s="82"/>
      <c r="W1203" s="82"/>
      <c r="X1203" s="82"/>
      <c r="Y1203" s="85"/>
      <c r="Z1203" s="35"/>
      <c r="AA1203" s="30"/>
      <c r="AB1203" s="30"/>
      <c r="AC1203" s="105"/>
      <c r="AD1203" s="106"/>
      <c r="AE1203" s="103"/>
    </row>
    <row r="1204" spans="1:31" ht="17.100000000000001" customHeight="1" x14ac:dyDescent="0.25">
      <c r="A1204" s="50">
        <v>46023</v>
      </c>
      <c r="B1204" s="53"/>
      <c r="C1204" s="55"/>
      <c r="D1204" s="56"/>
      <c r="E1204" s="57"/>
      <c r="F1204" s="55"/>
      <c r="G1204" s="57"/>
      <c r="H1204" s="58"/>
      <c r="I1204" s="26"/>
      <c r="J1204" s="61"/>
      <c r="K1204" s="64"/>
      <c r="L1204" s="11"/>
      <c r="M1204" s="53"/>
      <c r="N1204" s="42"/>
      <c r="O1204" s="43"/>
      <c r="P1204" s="36"/>
      <c r="Q1204" s="43"/>
      <c r="R1204" s="36"/>
      <c r="S1204" s="37"/>
      <c r="T1204" s="76">
        <f t="shared" ref="T1204" si="374">R1204-P1204</f>
        <v>0</v>
      </c>
      <c r="U1204" s="77"/>
      <c r="V1204" s="80"/>
      <c r="W1204" s="80"/>
      <c r="X1204" s="80"/>
      <c r="Y1204" s="83"/>
      <c r="Z1204" s="86"/>
      <c r="AA1204" s="48"/>
      <c r="AB1204" s="48"/>
      <c r="AC1204" s="96"/>
      <c r="AD1204" s="99"/>
      <c r="AE1204" s="101"/>
    </row>
    <row r="1205" spans="1:31" ht="17.100000000000001" customHeight="1" x14ac:dyDescent="0.25">
      <c r="A1205" s="51"/>
      <c r="B1205" s="54"/>
      <c r="C1205" s="68"/>
      <c r="D1205" s="69"/>
      <c r="E1205" s="70"/>
      <c r="F1205" s="68"/>
      <c r="G1205" s="70"/>
      <c r="H1205" s="59"/>
      <c r="I1205" s="24"/>
      <c r="J1205" s="62"/>
      <c r="K1205" s="65"/>
      <c r="L1205" s="17"/>
      <c r="M1205" s="54"/>
      <c r="N1205" s="44"/>
      <c r="O1205" s="45"/>
      <c r="P1205" s="38"/>
      <c r="Q1205" s="45"/>
      <c r="R1205" s="38"/>
      <c r="S1205" s="39"/>
      <c r="T1205" s="32"/>
      <c r="U1205" s="78"/>
      <c r="V1205" s="81"/>
      <c r="W1205" s="81"/>
      <c r="X1205" s="81"/>
      <c r="Y1205" s="84"/>
      <c r="Z1205" s="34"/>
      <c r="AA1205" s="29"/>
      <c r="AB1205" s="29"/>
      <c r="AC1205" s="97"/>
      <c r="AD1205" s="100"/>
      <c r="AE1205" s="102"/>
    </row>
    <row r="1206" spans="1:31" ht="17.100000000000001" customHeight="1" x14ac:dyDescent="0.25">
      <c r="A1206" s="51"/>
      <c r="B1206" s="66"/>
      <c r="C1206" s="68"/>
      <c r="D1206" s="69"/>
      <c r="E1206" s="70"/>
      <c r="F1206" s="68"/>
      <c r="G1206" s="70"/>
      <c r="H1206" s="59"/>
      <c r="I1206" s="27"/>
      <c r="J1206" s="63"/>
      <c r="K1206" s="71"/>
      <c r="L1206" s="18"/>
      <c r="M1206" s="66"/>
      <c r="N1206" s="46"/>
      <c r="O1206" s="47"/>
      <c r="P1206" s="40"/>
      <c r="Q1206" s="47"/>
      <c r="R1206" s="40"/>
      <c r="S1206" s="41"/>
      <c r="T1206" s="31">
        <f>(P1207-P1204)+(R1204-R1207)</f>
        <v>0</v>
      </c>
      <c r="U1206" s="78"/>
      <c r="V1206" s="81"/>
      <c r="W1206" s="81"/>
      <c r="X1206" s="81"/>
      <c r="Y1206" s="84"/>
      <c r="Z1206" s="87"/>
      <c r="AA1206" s="49"/>
      <c r="AB1206" s="49"/>
      <c r="AC1206" s="98"/>
      <c r="AD1206" s="104"/>
      <c r="AE1206" s="102"/>
    </row>
    <row r="1207" spans="1:31" ht="17.100000000000001" customHeight="1" x14ac:dyDescent="0.25">
      <c r="A1207" s="51"/>
      <c r="B1207" s="54"/>
      <c r="C1207" s="68"/>
      <c r="D1207" s="69"/>
      <c r="E1207" s="70"/>
      <c r="F1207" s="68"/>
      <c r="G1207" s="70"/>
      <c r="H1207" s="59"/>
      <c r="I1207" s="23"/>
      <c r="J1207" s="88"/>
      <c r="K1207" s="65"/>
      <c r="L1207" s="18"/>
      <c r="M1207" s="54"/>
      <c r="N1207" s="90">
        <f>(P1204-N1204)+(P1207-P1204)+(R1204-R1207)</f>
        <v>0</v>
      </c>
      <c r="O1207" s="91"/>
      <c r="P1207" s="90"/>
      <c r="Q1207" s="91"/>
      <c r="R1207" s="90"/>
      <c r="S1207" s="94"/>
      <c r="T1207" s="32"/>
      <c r="U1207" s="78"/>
      <c r="V1207" s="81"/>
      <c r="W1207" s="81"/>
      <c r="X1207" s="81"/>
      <c r="Y1207" s="84"/>
      <c r="Z1207" s="34"/>
      <c r="AA1207" s="28"/>
      <c r="AB1207" s="28"/>
      <c r="AC1207" s="97"/>
      <c r="AD1207" s="100"/>
      <c r="AE1207" s="102"/>
    </row>
    <row r="1208" spans="1:31" ht="17.100000000000001" customHeight="1" x14ac:dyDescent="0.25">
      <c r="A1208" s="51"/>
      <c r="B1208" s="66"/>
      <c r="C1208" s="68"/>
      <c r="D1208" s="69"/>
      <c r="E1208" s="70"/>
      <c r="F1208" s="68"/>
      <c r="G1208" s="70"/>
      <c r="H1208" s="59"/>
      <c r="I1208" s="24"/>
      <c r="J1208" s="62"/>
      <c r="K1208" s="71" t="s">
        <v>51</v>
      </c>
      <c r="L1208" s="16" t="s">
        <v>51</v>
      </c>
      <c r="M1208" s="66" t="s">
        <v>51</v>
      </c>
      <c r="N1208" s="38"/>
      <c r="O1208" s="45"/>
      <c r="P1208" s="38"/>
      <c r="Q1208" s="45"/>
      <c r="R1208" s="38"/>
      <c r="S1208" s="39"/>
      <c r="T1208" s="31">
        <f t="shared" ref="T1208" si="375">R1207-P1207</f>
        <v>0</v>
      </c>
      <c r="U1208" s="78"/>
      <c r="V1208" s="81"/>
      <c r="W1208" s="81"/>
      <c r="X1208" s="81"/>
      <c r="Y1208" s="84"/>
      <c r="Z1208" s="34"/>
      <c r="AA1208" s="29"/>
      <c r="AB1208" s="29"/>
      <c r="AC1208" s="97"/>
      <c r="AD1208" s="104"/>
      <c r="AE1208" s="102"/>
    </row>
    <row r="1209" spans="1:31" ht="17.100000000000001" customHeight="1" thickBot="1" x14ac:dyDescent="0.3">
      <c r="A1209" s="52"/>
      <c r="B1209" s="67"/>
      <c r="C1209" s="73"/>
      <c r="D1209" s="74"/>
      <c r="E1209" s="75"/>
      <c r="F1209" s="73"/>
      <c r="G1209" s="75"/>
      <c r="H1209" s="60"/>
      <c r="I1209" s="25"/>
      <c r="J1209" s="89"/>
      <c r="K1209" s="72"/>
      <c r="L1209" s="19" t="s">
        <v>52</v>
      </c>
      <c r="M1209" s="67"/>
      <c r="N1209" s="92"/>
      <c r="O1209" s="93"/>
      <c r="P1209" s="92"/>
      <c r="Q1209" s="93"/>
      <c r="R1209" s="92"/>
      <c r="S1209" s="95"/>
      <c r="T1209" s="33"/>
      <c r="U1209" s="79"/>
      <c r="V1209" s="82"/>
      <c r="W1209" s="82"/>
      <c r="X1209" s="82"/>
      <c r="Y1209" s="85"/>
      <c r="Z1209" s="35"/>
      <c r="AA1209" s="30"/>
      <c r="AB1209" s="30"/>
      <c r="AC1209" s="105"/>
      <c r="AD1209" s="106"/>
      <c r="AE1209" s="103"/>
    </row>
    <row r="1210" spans="1:31" ht="17.100000000000001" customHeight="1" x14ac:dyDescent="0.25">
      <c r="A1210" s="50">
        <v>46023</v>
      </c>
      <c r="B1210" s="53"/>
      <c r="C1210" s="55"/>
      <c r="D1210" s="56"/>
      <c r="E1210" s="57"/>
      <c r="F1210" s="55"/>
      <c r="G1210" s="57"/>
      <c r="H1210" s="58"/>
      <c r="I1210" s="26"/>
      <c r="J1210" s="61"/>
      <c r="K1210" s="64"/>
      <c r="L1210" s="11"/>
      <c r="M1210" s="53"/>
      <c r="N1210" s="42"/>
      <c r="O1210" s="43"/>
      <c r="P1210" s="36"/>
      <c r="Q1210" s="43"/>
      <c r="R1210" s="36"/>
      <c r="S1210" s="37"/>
      <c r="T1210" s="76">
        <f t="shared" ref="T1210" si="376">R1210-P1210</f>
        <v>0</v>
      </c>
      <c r="U1210" s="77"/>
      <c r="V1210" s="80"/>
      <c r="W1210" s="80"/>
      <c r="X1210" s="80"/>
      <c r="Y1210" s="83"/>
      <c r="Z1210" s="86"/>
      <c r="AA1210" s="48"/>
      <c r="AB1210" s="48"/>
      <c r="AC1210" s="96"/>
      <c r="AD1210" s="99"/>
      <c r="AE1210" s="101"/>
    </row>
    <row r="1211" spans="1:31" ht="17.100000000000001" customHeight="1" x14ac:dyDescent="0.25">
      <c r="A1211" s="51"/>
      <c r="B1211" s="54"/>
      <c r="C1211" s="68"/>
      <c r="D1211" s="69"/>
      <c r="E1211" s="70"/>
      <c r="F1211" s="68"/>
      <c r="G1211" s="70"/>
      <c r="H1211" s="59"/>
      <c r="I1211" s="24"/>
      <c r="J1211" s="62"/>
      <c r="K1211" s="65"/>
      <c r="L1211" s="17"/>
      <c r="M1211" s="54"/>
      <c r="N1211" s="44"/>
      <c r="O1211" s="45"/>
      <c r="P1211" s="38"/>
      <c r="Q1211" s="45"/>
      <c r="R1211" s="38"/>
      <c r="S1211" s="39"/>
      <c r="T1211" s="32"/>
      <c r="U1211" s="78"/>
      <c r="V1211" s="81"/>
      <c r="W1211" s="81"/>
      <c r="X1211" s="81"/>
      <c r="Y1211" s="84"/>
      <c r="Z1211" s="34"/>
      <c r="AA1211" s="29"/>
      <c r="AB1211" s="29"/>
      <c r="AC1211" s="97"/>
      <c r="AD1211" s="100"/>
      <c r="AE1211" s="102"/>
    </row>
    <row r="1212" spans="1:31" ht="17.100000000000001" customHeight="1" x14ac:dyDescent="0.25">
      <c r="A1212" s="51"/>
      <c r="B1212" s="66"/>
      <c r="C1212" s="68"/>
      <c r="D1212" s="69"/>
      <c r="E1212" s="70"/>
      <c r="F1212" s="68"/>
      <c r="G1212" s="70"/>
      <c r="H1212" s="59"/>
      <c r="I1212" s="27"/>
      <c r="J1212" s="63"/>
      <c r="K1212" s="71"/>
      <c r="L1212" s="18"/>
      <c r="M1212" s="66"/>
      <c r="N1212" s="46"/>
      <c r="O1212" s="47"/>
      <c r="P1212" s="40"/>
      <c r="Q1212" s="47"/>
      <c r="R1212" s="40"/>
      <c r="S1212" s="41"/>
      <c r="T1212" s="31">
        <f>(P1213-P1210)+(R1210-R1213)</f>
        <v>0</v>
      </c>
      <c r="U1212" s="78"/>
      <c r="V1212" s="81"/>
      <c r="W1212" s="81"/>
      <c r="X1212" s="81"/>
      <c r="Y1212" s="84"/>
      <c r="Z1212" s="87"/>
      <c r="AA1212" s="49"/>
      <c r="AB1212" s="49"/>
      <c r="AC1212" s="98"/>
      <c r="AD1212" s="104"/>
      <c r="AE1212" s="102"/>
    </row>
    <row r="1213" spans="1:31" ht="17.100000000000001" customHeight="1" x14ac:dyDescent="0.25">
      <c r="A1213" s="51"/>
      <c r="B1213" s="54"/>
      <c r="C1213" s="68"/>
      <c r="D1213" s="69"/>
      <c r="E1213" s="70"/>
      <c r="F1213" s="68"/>
      <c r="G1213" s="70"/>
      <c r="H1213" s="59"/>
      <c r="I1213" s="23"/>
      <c r="J1213" s="88"/>
      <c r="K1213" s="65"/>
      <c r="L1213" s="18"/>
      <c r="M1213" s="54"/>
      <c r="N1213" s="90">
        <f>(P1210-N1210)+(P1213-P1210)+(R1210-R1213)</f>
        <v>0</v>
      </c>
      <c r="O1213" s="91"/>
      <c r="P1213" s="90"/>
      <c r="Q1213" s="91"/>
      <c r="R1213" s="90"/>
      <c r="S1213" s="94"/>
      <c r="T1213" s="32"/>
      <c r="U1213" s="78"/>
      <c r="V1213" s="81"/>
      <c r="W1213" s="81"/>
      <c r="X1213" s="81"/>
      <c r="Y1213" s="84"/>
      <c r="Z1213" s="34"/>
      <c r="AA1213" s="28"/>
      <c r="AB1213" s="28"/>
      <c r="AC1213" s="97"/>
      <c r="AD1213" s="100"/>
      <c r="AE1213" s="102"/>
    </row>
    <row r="1214" spans="1:31" ht="17.100000000000001" customHeight="1" x14ac:dyDescent="0.25">
      <c r="A1214" s="51"/>
      <c r="B1214" s="66"/>
      <c r="C1214" s="68"/>
      <c r="D1214" s="69"/>
      <c r="E1214" s="70"/>
      <c r="F1214" s="68"/>
      <c r="G1214" s="70"/>
      <c r="H1214" s="59"/>
      <c r="I1214" s="24"/>
      <c r="J1214" s="62"/>
      <c r="K1214" s="71" t="s">
        <v>51</v>
      </c>
      <c r="L1214" s="16" t="s">
        <v>51</v>
      </c>
      <c r="M1214" s="66" t="s">
        <v>51</v>
      </c>
      <c r="N1214" s="38"/>
      <c r="O1214" s="45"/>
      <c r="P1214" s="38"/>
      <c r="Q1214" s="45"/>
      <c r="R1214" s="38"/>
      <c r="S1214" s="39"/>
      <c r="T1214" s="31">
        <f t="shared" ref="T1214" si="377">R1213-P1213</f>
        <v>0</v>
      </c>
      <c r="U1214" s="78"/>
      <c r="V1214" s="81"/>
      <c r="W1214" s="81"/>
      <c r="X1214" s="81"/>
      <c r="Y1214" s="84"/>
      <c r="Z1214" s="34"/>
      <c r="AA1214" s="29"/>
      <c r="AB1214" s="29"/>
      <c r="AC1214" s="97"/>
      <c r="AD1214" s="104"/>
      <c r="AE1214" s="102"/>
    </row>
    <row r="1215" spans="1:31" ht="17.100000000000001" customHeight="1" thickBot="1" x14ac:dyDescent="0.3">
      <c r="A1215" s="52"/>
      <c r="B1215" s="67"/>
      <c r="C1215" s="73"/>
      <c r="D1215" s="74"/>
      <c r="E1215" s="75"/>
      <c r="F1215" s="73"/>
      <c r="G1215" s="75"/>
      <c r="H1215" s="60"/>
      <c r="I1215" s="25"/>
      <c r="J1215" s="89"/>
      <c r="K1215" s="72"/>
      <c r="L1215" s="19" t="s">
        <v>52</v>
      </c>
      <c r="M1215" s="67"/>
      <c r="N1215" s="92"/>
      <c r="O1215" s="93"/>
      <c r="P1215" s="92"/>
      <c r="Q1215" s="93"/>
      <c r="R1215" s="92"/>
      <c r="S1215" s="95"/>
      <c r="T1215" s="33"/>
      <c r="U1215" s="79"/>
      <c r="V1215" s="82"/>
      <c r="W1215" s="82"/>
      <c r="X1215" s="82"/>
      <c r="Y1215" s="85"/>
      <c r="Z1215" s="35"/>
      <c r="AA1215" s="30"/>
      <c r="AB1215" s="30"/>
      <c r="AC1215" s="105"/>
      <c r="AD1215" s="106"/>
      <c r="AE1215" s="103"/>
    </row>
    <row r="1217" spans="1:31" ht="17.100000000000001" customHeight="1" thickBot="1" x14ac:dyDescent="0.3"/>
    <row r="1218" spans="1:31" ht="17.100000000000001" customHeight="1" x14ac:dyDescent="0.25">
      <c r="A1218" s="50">
        <v>46023</v>
      </c>
      <c r="B1218" s="53"/>
      <c r="C1218" s="55"/>
      <c r="D1218" s="56"/>
      <c r="E1218" s="57"/>
      <c r="F1218" s="55"/>
      <c r="G1218" s="57"/>
      <c r="H1218" s="58"/>
      <c r="I1218" s="26"/>
      <c r="J1218" s="61"/>
      <c r="K1218" s="64"/>
      <c r="L1218" s="11"/>
      <c r="M1218" s="53"/>
      <c r="N1218" s="42"/>
      <c r="O1218" s="43"/>
      <c r="P1218" s="36"/>
      <c r="Q1218" s="43"/>
      <c r="R1218" s="36"/>
      <c r="S1218" s="37"/>
      <c r="T1218" s="76">
        <f t="shared" ref="T1218" si="378">R1218-P1218</f>
        <v>0</v>
      </c>
      <c r="U1218" s="77"/>
      <c r="V1218" s="80"/>
      <c r="W1218" s="80"/>
      <c r="X1218" s="80"/>
      <c r="Y1218" s="83"/>
      <c r="Z1218" s="86"/>
      <c r="AA1218" s="48"/>
      <c r="AB1218" s="48"/>
      <c r="AC1218" s="96"/>
      <c r="AD1218" s="99"/>
      <c r="AE1218" s="101"/>
    </row>
    <row r="1219" spans="1:31" ht="17.100000000000001" customHeight="1" x14ac:dyDescent="0.25">
      <c r="A1219" s="51"/>
      <c r="B1219" s="54"/>
      <c r="C1219" s="68"/>
      <c r="D1219" s="69"/>
      <c r="E1219" s="70"/>
      <c r="F1219" s="68"/>
      <c r="G1219" s="70"/>
      <c r="H1219" s="59"/>
      <c r="I1219" s="24"/>
      <c r="J1219" s="62"/>
      <c r="K1219" s="65"/>
      <c r="L1219" s="17"/>
      <c r="M1219" s="54"/>
      <c r="N1219" s="44"/>
      <c r="O1219" s="45"/>
      <c r="P1219" s="38"/>
      <c r="Q1219" s="45"/>
      <c r="R1219" s="38"/>
      <c r="S1219" s="39"/>
      <c r="T1219" s="32"/>
      <c r="U1219" s="78"/>
      <c r="V1219" s="81"/>
      <c r="W1219" s="81"/>
      <c r="X1219" s="81"/>
      <c r="Y1219" s="84"/>
      <c r="Z1219" s="34"/>
      <c r="AA1219" s="29"/>
      <c r="AB1219" s="29"/>
      <c r="AC1219" s="97"/>
      <c r="AD1219" s="100"/>
      <c r="AE1219" s="102"/>
    </row>
    <row r="1220" spans="1:31" ht="17.100000000000001" customHeight="1" x14ac:dyDescent="0.25">
      <c r="A1220" s="51"/>
      <c r="B1220" s="66"/>
      <c r="C1220" s="68"/>
      <c r="D1220" s="69"/>
      <c r="E1220" s="70"/>
      <c r="F1220" s="68"/>
      <c r="G1220" s="70"/>
      <c r="H1220" s="59"/>
      <c r="I1220" s="27"/>
      <c r="J1220" s="63"/>
      <c r="K1220" s="71"/>
      <c r="L1220" s="18"/>
      <c r="M1220" s="66"/>
      <c r="N1220" s="46"/>
      <c r="O1220" s="47"/>
      <c r="P1220" s="40"/>
      <c r="Q1220" s="47"/>
      <c r="R1220" s="40"/>
      <c r="S1220" s="41"/>
      <c r="T1220" s="31">
        <f>(P1221-P1218)+(R1218-R1221)</f>
        <v>0</v>
      </c>
      <c r="U1220" s="78"/>
      <c r="V1220" s="81"/>
      <c r="W1220" s="81"/>
      <c r="X1220" s="81"/>
      <c r="Y1220" s="84"/>
      <c r="Z1220" s="87"/>
      <c r="AA1220" s="49"/>
      <c r="AB1220" s="49"/>
      <c r="AC1220" s="98"/>
      <c r="AD1220" s="104"/>
      <c r="AE1220" s="102"/>
    </row>
    <row r="1221" spans="1:31" ht="17.100000000000001" customHeight="1" x14ac:dyDescent="0.25">
      <c r="A1221" s="51"/>
      <c r="B1221" s="54"/>
      <c r="C1221" s="68"/>
      <c r="D1221" s="69"/>
      <c r="E1221" s="70"/>
      <c r="F1221" s="68"/>
      <c r="G1221" s="70"/>
      <c r="H1221" s="59"/>
      <c r="I1221" s="23"/>
      <c r="J1221" s="88"/>
      <c r="K1221" s="65"/>
      <c r="L1221" s="18"/>
      <c r="M1221" s="54"/>
      <c r="N1221" s="90">
        <f>(P1218-N1218)+(P1221-P1218)+(R1218-R1221)</f>
        <v>0</v>
      </c>
      <c r="O1221" s="91"/>
      <c r="P1221" s="90"/>
      <c r="Q1221" s="91"/>
      <c r="R1221" s="90"/>
      <c r="S1221" s="94"/>
      <c r="T1221" s="32"/>
      <c r="U1221" s="78"/>
      <c r="V1221" s="81"/>
      <c r="W1221" s="81"/>
      <c r="X1221" s="81"/>
      <c r="Y1221" s="84"/>
      <c r="Z1221" s="34"/>
      <c r="AA1221" s="28"/>
      <c r="AB1221" s="28"/>
      <c r="AC1221" s="97"/>
      <c r="AD1221" s="100"/>
      <c r="AE1221" s="102"/>
    </row>
    <row r="1222" spans="1:31" ht="17.100000000000001" customHeight="1" x14ac:dyDescent="0.25">
      <c r="A1222" s="51"/>
      <c r="B1222" s="66"/>
      <c r="C1222" s="68"/>
      <c r="D1222" s="69"/>
      <c r="E1222" s="70"/>
      <c r="F1222" s="68"/>
      <c r="G1222" s="70"/>
      <c r="H1222" s="59"/>
      <c r="I1222" s="24"/>
      <c r="J1222" s="62"/>
      <c r="K1222" s="71" t="s">
        <v>51</v>
      </c>
      <c r="L1222" s="16" t="s">
        <v>51</v>
      </c>
      <c r="M1222" s="66" t="s">
        <v>51</v>
      </c>
      <c r="N1222" s="38"/>
      <c r="O1222" s="45"/>
      <c r="P1222" s="38"/>
      <c r="Q1222" s="45"/>
      <c r="R1222" s="38"/>
      <c r="S1222" s="39"/>
      <c r="T1222" s="31">
        <f t="shared" ref="T1222" si="379">R1221-P1221</f>
        <v>0</v>
      </c>
      <c r="U1222" s="78"/>
      <c r="V1222" s="81"/>
      <c r="W1222" s="81"/>
      <c r="X1222" s="81"/>
      <c r="Y1222" s="84"/>
      <c r="Z1222" s="34"/>
      <c r="AA1222" s="29"/>
      <c r="AB1222" s="29"/>
      <c r="AC1222" s="97"/>
      <c r="AD1222" s="104"/>
      <c r="AE1222" s="102"/>
    </row>
    <row r="1223" spans="1:31" ht="17.100000000000001" customHeight="1" thickBot="1" x14ac:dyDescent="0.3">
      <c r="A1223" s="52"/>
      <c r="B1223" s="67"/>
      <c r="C1223" s="73"/>
      <c r="D1223" s="74"/>
      <c r="E1223" s="75"/>
      <c r="F1223" s="73"/>
      <c r="G1223" s="75"/>
      <c r="H1223" s="60"/>
      <c r="I1223" s="25"/>
      <c r="J1223" s="89"/>
      <c r="K1223" s="72"/>
      <c r="L1223" s="19" t="s">
        <v>52</v>
      </c>
      <c r="M1223" s="67"/>
      <c r="N1223" s="92"/>
      <c r="O1223" s="93"/>
      <c r="P1223" s="92"/>
      <c r="Q1223" s="93"/>
      <c r="R1223" s="92"/>
      <c r="S1223" s="95"/>
      <c r="T1223" s="33"/>
      <c r="U1223" s="79"/>
      <c r="V1223" s="82"/>
      <c r="W1223" s="82"/>
      <c r="X1223" s="82"/>
      <c r="Y1223" s="85"/>
      <c r="Z1223" s="35"/>
      <c r="AA1223" s="30"/>
      <c r="AB1223" s="30"/>
      <c r="AC1223" s="105"/>
      <c r="AD1223" s="106"/>
      <c r="AE1223" s="103"/>
    </row>
    <row r="1224" spans="1:31" ht="17.100000000000001" customHeight="1" x14ac:dyDescent="0.25">
      <c r="A1224" s="50">
        <v>46023</v>
      </c>
      <c r="B1224" s="53"/>
      <c r="C1224" s="55"/>
      <c r="D1224" s="56"/>
      <c r="E1224" s="57"/>
      <c r="F1224" s="55"/>
      <c r="G1224" s="57"/>
      <c r="H1224" s="58"/>
      <c r="I1224" s="26"/>
      <c r="J1224" s="61"/>
      <c r="K1224" s="64"/>
      <c r="L1224" s="11"/>
      <c r="M1224" s="53"/>
      <c r="N1224" s="42"/>
      <c r="O1224" s="43"/>
      <c r="P1224" s="36"/>
      <c r="Q1224" s="43"/>
      <c r="R1224" s="36"/>
      <c r="S1224" s="37"/>
      <c r="T1224" s="76">
        <f t="shared" ref="T1224" si="380">R1224-P1224</f>
        <v>0</v>
      </c>
      <c r="U1224" s="77"/>
      <c r="V1224" s="80"/>
      <c r="W1224" s="80"/>
      <c r="X1224" s="80"/>
      <c r="Y1224" s="83"/>
      <c r="Z1224" s="86"/>
      <c r="AA1224" s="48"/>
      <c r="AB1224" s="48"/>
      <c r="AC1224" s="96"/>
      <c r="AD1224" s="99"/>
      <c r="AE1224" s="101"/>
    </row>
    <row r="1225" spans="1:31" ht="17.100000000000001" customHeight="1" x14ac:dyDescent="0.25">
      <c r="A1225" s="51"/>
      <c r="B1225" s="54"/>
      <c r="C1225" s="68"/>
      <c r="D1225" s="69"/>
      <c r="E1225" s="70"/>
      <c r="F1225" s="68"/>
      <c r="G1225" s="70"/>
      <c r="H1225" s="59"/>
      <c r="I1225" s="24"/>
      <c r="J1225" s="62"/>
      <c r="K1225" s="65"/>
      <c r="L1225" s="17"/>
      <c r="M1225" s="54"/>
      <c r="N1225" s="44"/>
      <c r="O1225" s="45"/>
      <c r="P1225" s="38"/>
      <c r="Q1225" s="45"/>
      <c r="R1225" s="38"/>
      <c r="S1225" s="39"/>
      <c r="T1225" s="32"/>
      <c r="U1225" s="78"/>
      <c r="V1225" s="81"/>
      <c r="W1225" s="81"/>
      <c r="X1225" s="81"/>
      <c r="Y1225" s="84"/>
      <c r="Z1225" s="34"/>
      <c r="AA1225" s="29"/>
      <c r="AB1225" s="29"/>
      <c r="AC1225" s="97"/>
      <c r="AD1225" s="100"/>
      <c r="AE1225" s="102"/>
    </row>
    <row r="1226" spans="1:31" ht="17.100000000000001" customHeight="1" x14ac:dyDescent="0.25">
      <c r="A1226" s="51"/>
      <c r="B1226" s="66"/>
      <c r="C1226" s="68"/>
      <c r="D1226" s="69"/>
      <c r="E1226" s="70"/>
      <c r="F1226" s="68"/>
      <c r="G1226" s="70"/>
      <c r="H1226" s="59"/>
      <c r="I1226" s="27"/>
      <c r="J1226" s="63"/>
      <c r="K1226" s="71"/>
      <c r="L1226" s="18"/>
      <c r="M1226" s="66"/>
      <c r="N1226" s="46"/>
      <c r="O1226" s="47"/>
      <c r="P1226" s="40"/>
      <c r="Q1226" s="47"/>
      <c r="R1226" s="40"/>
      <c r="S1226" s="41"/>
      <c r="T1226" s="31">
        <f>(P1227-P1224)+(R1224-R1227)</f>
        <v>0</v>
      </c>
      <c r="U1226" s="78"/>
      <c r="V1226" s="81"/>
      <c r="W1226" s="81"/>
      <c r="X1226" s="81"/>
      <c r="Y1226" s="84"/>
      <c r="Z1226" s="87"/>
      <c r="AA1226" s="49"/>
      <c r="AB1226" s="49"/>
      <c r="AC1226" s="98"/>
      <c r="AD1226" s="104"/>
      <c r="AE1226" s="102"/>
    </row>
    <row r="1227" spans="1:31" ht="17.100000000000001" customHeight="1" x14ac:dyDescent="0.25">
      <c r="A1227" s="51"/>
      <c r="B1227" s="54"/>
      <c r="C1227" s="68"/>
      <c r="D1227" s="69"/>
      <c r="E1227" s="70"/>
      <c r="F1227" s="68"/>
      <c r="G1227" s="70"/>
      <c r="H1227" s="59"/>
      <c r="I1227" s="23"/>
      <c r="J1227" s="88"/>
      <c r="K1227" s="65"/>
      <c r="L1227" s="18"/>
      <c r="M1227" s="54"/>
      <c r="N1227" s="90">
        <f>(P1224-N1224)+(P1227-P1224)+(R1224-R1227)</f>
        <v>0</v>
      </c>
      <c r="O1227" s="91"/>
      <c r="P1227" s="90"/>
      <c r="Q1227" s="91"/>
      <c r="R1227" s="90"/>
      <c r="S1227" s="94"/>
      <c r="T1227" s="32"/>
      <c r="U1227" s="78"/>
      <c r="V1227" s="81"/>
      <c r="W1227" s="81"/>
      <c r="X1227" s="81"/>
      <c r="Y1227" s="84"/>
      <c r="Z1227" s="34"/>
      <c r="AA1227" s="28"/>
      <c r="AB1227" s="28"/>
      <c r="AC1227" s="97"/>
      <c r="AD1227" s="100"/>
      <c r="AE1227" s="102"/>
    </row>
    <row r="1228" spans="1:31" ht="17.100000000000001" customHeight="1" x14ac:dyDescent="0.25">
      <c r="A1228" s="51"/>
      <c r="B1228" s="66"/>
      <c r="C1228" s="68"/>
      <c r="D1228" s="69"/>
      <c r="E1228" s="70"/>
      <c r="F1228" s="68"/>
      <c r="G1228" s="70"/>
      <c r="H1228" s="59"/>
      <c r="I1228" s="24"/>
      <c r="J1228" s="62"/>
      <c r="K1228" s="71" t="s">
        <v>51</v>
      </c>
      <c r="L1228" s="16" t="s">
        <v>51</v>
      </c>
      <c r="M1228" s="66" t="s">
        <v>51</v>
      </c>
      <c r="N1228" s="38"/>
      <c r="O1228" s="45"/>
      <c r="P1228" s="38"/>
      <c r="Q1228" s="45"/>
      <c r="R1228" s="38"/>
      <c r="S1228" s="39"/>
      <c r="T1228" s="31">
        <f t="shared" ref="T1228" si="381">R1227-P1227</f>
        <v>0</v>
      </c>
      <c r="U1228" s="78"/>
      <c r="V1228" s="81"/>
      <c r="W1228" s="81"/>
      <c r="X1228" s="81"/>
      <c r="Y1228" s="84"/>
      <c r="Z1228" s="34"/>
      <c r="AA1228" s="29"/>
      <c r="AB1228" s="29"/>
      <c r="AC1228" s="97"/>
      <c r="AD1228" s="104"/>
      <c r="AE1228" s="102"/>
    </row>
    <row r="1229" spans="1:31" ht="17.100000000000001" customHeight="1" thickBot="1" x14ac:dyDescent="0.3">
      <c r="A1229" s="52"/>
      <c r="B1229" s="67"/>
      <c r="C1229" s="73"/>
      <c r="D1229" s="74"/>
      <c r="E1229" s="75"/>
      <c r="F1229" s="73"/>
      <c r="G1229" s="75"/>
      <c r="H1229" s="60"/>
      <c r="I1229" s="25"/>
      <c r="J1229" s="89"/>
      <c r="K1229" s="72"/>
      <c r="L1229" s="19" t="s">
        <v>52</v>
      </c>
      <c r="M1229" s="67"/>
      <c r="N1229" s="92"/>
      <c r="O1229" s="93"/>
      <c r="P1229" s="92"/>
      <c r="Q1229" s="93"/>
      <c r="R1229" s="92"/>
      <c r="S1229" s="95"/>
      <c r="T1229" s="33"/>
      <c r="U1229" s="79"/>
      <c r="V1229" s="82"/>
      <c r="W1229" s="82"/>
      <c r="X1229" s="82"/>
      <c r="Y1229" s="85"/>
      <c r="Z1229" s="35"/>
      <c r="AA1229" s="30"/>
      <c r="AB1229" s="30"/>
      <c r="AC1229" s="105"/>
      <c r="AD1229" s="106"/>
      <c r="AE1229" s="103"/>
    </row>
    <row r="1230" spans="1:31" ht="17.100000000000001" customHeight="1" x14ac:dyDescent="0.25">
      <c r="A1230" s="50">
        <v>46023</v>
      </c>
      <c r="B1230" s="53"/>
      <c r="C1230" s="55"/>
      <c r="D1230" s="56"/>
      <c r="E1230" s="57"/>
      <c r="F1230" s="55"/>
      <c r="G1230" s="57"/>
      <c r="H1230" s="58"/>
      <c r="I1230" s="26"/>
      <c r="J1230" s="61"/>
      <c r="K1230" s="64"/>
      <c r="L1230" s="11"/>
      <c r="M1230" s="53"/>
      <c r="N1230" s="42"/>
      <c r="O1230" s="43"/>
      <c r="P1230" s="36"/>
      <c r="Q1230" s="43"/>
      <c r="R1230" s="36"/>
      <c r="S1230" s="37"/>
      <c r="T1230" s="76">
        <f t="shared" ref="T1230" si="382">R1230-P1230</f>
        <v>0</v>
      </c>
      <c r="U1230" s="77"/>
      <c r="V1230" s="80"/>
      <c r="W1230" s="80"/>
      <c r="X1230" s="80"/>
      <c r="Y1230" s="83"/>
      <c r="Z1230" s="86"/>
      <c r="AA1230" s="48"/>
      <c r="AB1230" s="48"/>
      <c r="AC1230" s="96"/>
      <c r="AD1230" s="99"/>
      <c r="AE1230" s="101"/>
    </row>
    <row r="1231" spans="1:31" ht="17.100000000000001" customHeight="1" x14ac:dyDescent="0.25">
      <c r="A1231" s="51"/>
      <c r="B1231" s="54"/>
      <c r="C1231" s="68"/>
      <c r="D1231" s="69"/>
      <c r="E1231" s="70"/>
      <c r="F1231" s="68"/>
      <c r="G1231" s="70"/>
      <c r="H1231" s="59"/>
      <c r="I1231" s="24"/>
      <c r="J1231" s="62"/>
      <c r="K1231" s="65"/>
      <c r="L1231" s="17"/>
      <c r="M1231" s="54"/>
      <c r="N1231" s="44"/>
      <c r="O1231" s="45"/>
      <c r="P1231" s="38"/>
      <c r="Q1231" s="45"/>
      <c r="R1231" s="38"/>
      <c r="S1231" s="39"/>
      <c r="T1231" s="32"/>
      <c r="U1231" s="78"/>
      <c r="V1231" s="81"/>
      <c r="W1231" s="81"/>
      <c r="X1231" s="81"/>
      <c r="Y1231" s="84"/>
      <c r="Z1231" s="34"/>
      <c r="AA1231" s="29"/>
      <c r="AB1231" s="29"/>
      <c r="AC1231" s="97"/>
      <c r="AD1231" s="100"/>
      <c r="AE1231" s="102"/>
    </row>
    <row r="1232" spans="1:31" ht="17.100000000000001" customHeight="1" x14ac:dyDescent="0.25">
      <c r="A1232" s="51"/>
      <c r="B1232" s="66"/>
      <c r="C1232" s="68"/>
      <c r="D1232" s="69"/>
      <c r="E1232" s="70"/>
      <c r="F1232" s="68"/>
      <c r="G1232" s="70"/>
      <c r="H1232" s="59"/>
      <c r="I1232" s="27"/>
      <c r="J1232" s="63"/>
      <c r="K1232" s="71"/>
      <c r="L1232" s="18"/>
      <c r="M1232" s="66"/>
      <c r="N1232" s="46"/>
      <c r="O1232" s="47"/>
      <c r="P1232" s="40"/>
      <c r="Q1232" s="47"/>
      <c r="R1232" s="40"/>
      <c r="S1232" s="41"/>
      <c r="T1232" s="31">
        <f>(P1233-P1230)+(R1230-R1233)</f>
        <v>0</v>
      </c>
      <c r="U1232" s="78"/>
      <c r="V1232" s="81"/>
      <c r="W1232" s="81"/>
      <c r="X1232" s="81"/>
      <c r="Y1232" s="84"/>
      <c r="Z1232" s="87"/>
      <c r="AA1232" s="49"/>
      <c r="AB1232" s="49"/>
      <c r="AC1232" s="98"/>
      <c r="AD1232" s="104"/>
      <c r="AE1232" s="102"/>
    </row>
    <row r="1233" spans="1:31" ht="17.100000000000001" customHeight="1" x14ac:dyDescent="0.25">
      <c r="A1233" s="51"/>
      <c r="B1233" s="54"/>
      <c r="C1233" s="68"/>
      <c r="D1233" s="69"/>
      <c r="E1233" s="70"/>
      <c r="F1233" s="68"/>
      <c r="G1233" s="70"/>
      <c r="H1233" s="59"/>
      <c r="I1233" s="23"/>
      <c r="J1233" s="88"/>
      <c r="K1233" s="65"/>
      <c r="L1233" s="18"/>
      <c r="M1233" s="54"/>
      <c r="N1233" s="90">
        <f>(P1230-N1230)+(P1233-P1230)+(R1230-R1233)</f>
        <v>0</v>
      </c>
      <c r="O1233" s="91"/>
      <c r="P1233" s="90"/>
      <c r="Q1233" s="91"/>
      <c r="R1233" s="90"/>
      <c r="S1233" s="94"/>
      <c r="T1233" s="32"/>
      <c r="U1233" s="78"/>
      <c r="V1233" s="81"/>
      <c r="W1233" s="81"/>
      <c r="X1233" s="81"/>
      <c r="Y1233" s="84"/>
      <c r="Z1233" s="34"/>
      <c r="AA1233" s="28"/>
      <c r="AB1233" s="28"/>
      <c r="AC1233" s="97"/>
      <c r="AD1233" s="100"/>
      <c r="AE1233" s="102"/>
    </row>
    <row r="1234" spans="1:31" ht="17.100000000000001" customHeight="1" x14ac:dyDescent="0.25">
      <c r="A1234" s="51"/>
      <c r="B1234" s="66"/>
      <c r="C1234" s="68"/>
      <c r="D1234" s="69"/>
      <c r="E1234" s="70"/>
      <c r="F1234" s="68"/>
      <c r="G1234" s="70"/>
      <c r="H1234" s="59"/>
      <c r="I1234" s="24"/>
      <c r="J1234" s="62"/>
      <c r="K1234" s="71" t="s">
        <v>51</v>
      </c>
      <c r="L1234" s="16" t="s">
        <v>51</v>
      </c>
      <c r="M1234" s="66" t="s">
        <v>51</v>
      </c>
      <c r="N1234" s="38"/>
      <c r="O1234" s="45"/>
      <c r="P1234" s="38"/>
      <c r="Q1234" s="45"/>
      <c r="R1234" s="38"/>
      <c r="S1234" s="39"/>
      <c r="T1234" s="31">
        <f t="shared" ref="T1234" si="383">R1233-P1233</f>
        <v>0</v>
      </c>
      <c r="U1234" s="78"/>
      <c r="V1234" s="81"/>
      <c r="W1234" s="81"/>
      <c r="X1234" s="81"/>
      <c r="Y1234" s="84"/>
      <c r="Z1234" s="34"/>
      <c r="AA1234" s="29"/>
      <c r="AB1234" s="29"/>
      <c r="AC1234" s="97"/>
      <c r="AD1234" s="104"/>
      <c r="AE1234" s="102"/>
    </row>
    <row r="1235" spans="1:31" ht="17.100000000000001" customHeight="1" thickBot="1" x14ac:dyDescent="0.3">
      <c r="A1235" s="52"/>
      <c r="B1235" s="67"/>
      <c r="C1235" s="73"/>
      <c r="D1235" s="74"/>
      <c r="E1235" s="75"/>
      <c r="F1235" s="73"/>
      <c r="G1235" s="75"/>
      <c r="H1235" s="60"/>
      <c r="I1235" s="25"/>
      <c r="J1235" s="89"/>
      <c r="K1235" s="72"/>
      <c r="L1235" s="19" t="s">
        <v>52</v>
      </c>
      <c r="M1235" s="67"/>
      <c r="N1235" s="92"/>
      <c r="O1235" s="93"/>
      <c r="P1235" s="92"/>
      <c r="Q1235" s="93"/>
      <c r="R1235" s="92"/>
      <c r="S1235" s="95"/>
      <c r="T1235" s="33"/>
      <c r="U1235" s="79"/>
      <c r="V1235" s="82"/>
      <c r="W1235" s="82"/>
      <c r="X1235" s="82"/>
      <c r="Y1235" s="85"/>
      <c r="Z1235" s="35"/>
      <c r="AA1235" s="30"/>
      <c r="AB1235" s="30"/>
      <c r="AC1235" s="105"/>
      <c r="AD1235" s="106"/>
      <c r="AE1235" s="103"/>
    </row>
    <row r="1236" spans="1:31" ht="17.100000000000001" customHeight="1" x14ac:dyDescent="0.25">
      <c r="A1236" s="50">
        <v>46023</v>
      </c>
      <c r="B1236" s="53"/>
      <c r="C1236" s="55"/>
      <c r="D1236" s="56"/>
      <c r="E1236" s="57"/>
      <c r="F1236" s="55"/>
      <c r="G1236" s="57"/>
      <c r="H1236" s="58"/>
      <c r="I1236" s="26"/>
      <c r="J1236" s="61"/>
      <c r="K1236" s="64"/>
      <c r="L1236" s="11"/>
      <c r="M1236" s="53"/>
      <c r="N1236" s="42"/>
      <c r="O1236" s="43"/>
      <c r="P1236" s="36"/>
      <c r="Q1236" s="43"/>
      <c r="R1236" s="36"/>
      <c r="S1236" s="37"/>
      <c r="T1236" s="76">
        <f t="shared" ref="T1236" si="384">R1236-P1236</f>
        <v>0</v>
      </c>
      <c r="U1236" s="77"/>
      <c r="V1236" s="80"/>
      <c r="W1236" s="80"/>
      <c r="X1236" s="80"/>
      <c r="Y1236" s="83"/>
      <c r="Z1236" s="86"/>
      <c r="AA1236" s="48"/>
      <c r="AB1236" s="48"/>
      <c r="AC1236" s="96"/>
      <c r="AD1236" s="99"/>
      <c r="AE1236" s="101"/>
    </row>
    <row r="1237" spans="1:31" ht="17.100000000000001" customHeight="1" x14ac:dyDescent="0.25">
      <c r="A1237" s="51"/>
      <c r="B1237" s="54"/>
      <c r="C1237" s="68"/>
      <c r="D1237" s="69"/>
      <c r="E1237" s="70"/>
      <c r="F1237" s="68"/>
      <c r="G1237" s="70"/>
      <c r="H1237" s="59"/>
      <c r="I1237" s="24"/>
      <c r="J1237" s="62"/>
      <c r="K1237" s="65"/>
      <c r="L1237" s="17"/>
      <c r="M1237" s="54"/>
      <c r="N1237" s="44"/>
      <c r="O1237" s="45"/>
      <c r="P1237" s="38"/>
      <c r="Q1237" s="45"/>
      <c r="R1237" s="38"/>
      <c r="S1237" s="39"/>
      <c r="T1237" s="32"/>
      <c r="U1237" s="78"/>
      <c r="V1237" s="81"/>
      <c r="W1237" s="81"/>
      <c r="X1237" s="81"/>
      <c r="Y1237" s="84"/>
      <c r="Z1237" s="34"/>
      <c r="AA1237" s="29"/>
      <c r="AB1237" s="29"/>
      <c r="AC1237" s="97"/>
      <c r="AD1237" s="100"/>
      <c r="AE1237" s="102"/>
    </row>
    <row r="1238" spans="1:31" ht="17.100000000000001" customHeight="1" x14ac:dyDescent="0.25">
      <c r="A1238" s="51"/>
      <c r="B1238" s="66"/>
      <c r="C1238" s="68"/>
      <c r="D1238" s="69"/>
      <c r="E1238" s="70"/>
      <c r="F1238" s="68"/>
      <c r="G1238" s="70"/>
      <c r="H1238" s="59"/>
      <c r="I1238" s="27"/>
      <c r="J1238" s="63"/>
      <c r="K1238" s="71"/>
      <c r="L1238" s="18"/>
      <c r="M1238" s="66"/>
      <c r="N1238" s="46"/>
      <c r="O1238" s="47"/>
      <c r="P1238" s="40"/>
      <c r="Q1238" s="47"/>
      <c r="R1238" s="40"/>
      <c r="S1238" s="41"/>
      <c r="T1238" s="31">
        <f>(P1239-P1236)+(R1236-R1239)</f>
        <v>0</v>
      </c>
      <c r="U1238" s="78"/>
      <c r="V1238" s="81"/>
      <c r="W1238" s="81"/>
      <c r="X1238" s="81"/>
      <c r="Y1238" s="84"/>
      <c r="Z1238" s="87"/>
      <c r="AA1238" s="49"/>
      <c r="AB1238" s="49"/>
      <c r="AC1238" s="98"/>
      <c r="AD1238" s="104"/>
      <c r="AE1238" s="102"/>
    </row>
    <row r="1239" spans="1:31" ht="17.100000000000001" customHeight="1" x14ac:dyDescent="0.25">
      <c r="A1239" s="51"/>
      <c r="B1239" s="54"/>
      <c r="C1239" s="68"/>
      <c r="D1239" s="69"/>
      <c r="E1239" s="70"/>
      <c r="F1239" s="68"/>
      <c r="G1239" s="70"/>
      <c r="H1239" s="59"/>
      <c r="I1239" s="23"/>
      <c r="J1239" s="88"/>
      <c r="K1239" s="65"/>
      <c r="L1239" s="18"/>
      <c r="M1239" s="54"/>
      <c r="N1239" s="90">
        <f>(P1236-N1236)+(P1239-P1236)+(R1236-R1239)</f>
        <v>0</v>
      </c>
      <c r="O1239" s="91"/>
      <c r="P1239" s="90"/>
      <c r="Q1239" s="91"/>
      <c r="R1239" s="90"/>
      <c r="S1239" s="94"/>
      <c r="T1239" s="32"/>
      <c r="U1239" s="78"/>
      <c r="V1239" s="81"/>
      <c r="W1239" s="81"/>
      <c r="X1239" s="81"/>
      <c r="Y1239" s="84"/>
      <c r="Z1239" s="34"/>
      <c r="AA1239" s="28"/>
      <c r="AB1239" s="28"/>
      <c r="AC1239" s="97"/>
      <c r="AD1239" s="100"/>
      <c r="AE1239" s="102"/>
    </row>
    <row r="1240" spans="1:31" ht="17.100000000000001" customHeight="1" x14ac:dyDescent="0.25">
      <c r="A1240" s="51"/>
      <c r="B1240" s="66"/>
      <c r="C1240" s="68"/>
      <c r="D1240" s="69"/>
      <c r="E1240" s="70"/>
      <c r="F1240" s="68"/>
      <c r="G1240" s="70"/>
      <c r="H1240" s="59"/>
      <c r="I1240" s="24"/>
      <c r="J1240" s="62"/>
      <c r="K1240" s="71" t="s">
        <v>51</v>
      </c>
      <c r="L1240" s="16" t="s">
        <v>51</v>
      </c>
      <c r="M1240" s="66" t="s">
        <v>51</v>
      </c>
      <c r="N1240" s="38"/>
      <c r="O1240" s="45"/>
      <c r="P1240" s="38"/>
      <c r="Q1240" s="45"/>
      <c r="R1240" s="38"/>
      <c r="S1240" s="39"/>
      <c r="T1240" s="31">
        <f t="shared" ref="T1240" si="385">R1239-P1239</f>
        <v>0</v>
      </c>
      <c r="U1240" s="78"/>
      <c r="V1240" s="81"/>
      <c r="W1240" s="81"/>
      <c r="X1240" s="81"/>
      <c r="Y1240" s="84"/>
      <c r="Z1240" s="34"/>
      <c r="AA1240" s="29"/>
      <c r="AB1240" s="29"/>
      <c r="AC1240" s="97"/>
      <c r="AD1240" s="104"/>
      <c r="AE1240" s="102"/>
    </row>
    <row r="1241" spans="1:31" ht="17.100000000000001" customHeight="1" thickBot="1" x14ac:dyDescent="0.3">
      <c r="A1241" s="52"/>
      <c r="B1241" s="67"/>
      <c r="C1241" s="73"/>
      <c r="D1241" s="74"/>
      <c r="E1241" s="75"/>
      <c r="F1241" s="73"/>
      <c r="G1241" s="75"/>
      <c r="H1241" s="60"/>
      <c r="I1241" s="25"/>
      <c r="J1241" s="89"/>
      <c r="K1241" s="72"/>
      <c r="L1241" s="19" t="s">
        <v>52</v>
      </c>
      <c r="M1241" s="67"/>
      <c r="N1241" s="92"/>
      <c r="O1241" s="93"/>
      <c r="P1241" s="92"/>
      <c r="Q1241" s="93"/>
      <c r="R1241" s="92"/>
      <c r="S1241" s="95"/>
      <c r="T1241" s="33"/>
      <c r="U1241" s="79"/>
      <c r="V1241" s="82"/>
      <c r="W1241" s="82"/>
      <c r="X1241" s="82"/>
      <c r="Y1241" s="85"/>
      <c r="Z1241" s="35"/>
      <c r="AA1241" s="30"/>
      <c r="AB1241" s="30"/>
      <c r="AC1241" s="105"/>
      <c r="AD1241" s="106"/>
      <c r="AE1241" s="103"/>
    </row>
    <row r="1242" spans="1:31" ht="17.100000000000001" customHeight="1" x14ac:dyDescent="0.25">
      <c r="A1242" s="50">
        <v>46023</v>
      </c>
      <c r="B1242" s="53"/>
      <c r="C1242" s="55"/>
      <c r="D1242" s="56"/>
      <c r="E1242" s="57"/>
      <c r="F1242" s="55"/>
      <c r="G1242" s="57"/>
      <c r="H1242" s="58"/>
      <c r="I1242" s="26"/>
      <c r="J1242" s="61"/>
      <c r="K1242" s="64"/>
      <c r="L1242" s="11"/>
      <c r="M1242" s="53"/>
      <c r="N1242" s="42"/>
      <c r="O1242" s="43"/>
      <c r="P1242" s="36"/>
      <c r="Q1242" s="43"/>
      <c r="R1242" s="36"/>
      <c r="S1242" s="37"/>
      <c r="T1242" s="76">
        <f t="shared" ref="T1242" si="386">R1242-P1242</f>
        <v>0</v>
      </c>
      <c r="U1242" s="77"/>
      <c r="V1242" s="80"/>
      <c r="W1242" s="80"/>
      <c r="X1242" s="80"/>
      <c r="Y1242" s="83"/>
      <c r="Z1242" s="86"/>
      <c r="AA1242" s="48"/>
      <c r="AB1242" s="48"/>
      <c r="AC1242" s="96"/>
      <c r="AD1242" s="99"/>
      <c r="AE1242" s="101"/>
    </row>
    <row r="1243" spans="1:31" ht="17.100000000000001" customHeight="1" x14ac:dyDescent="0.25">
      <c r="A1243" s="51"/>
      <c r="B1243" s="54"/>
      <c r="C1243" s="68"/>
      <c r="D1243" s="69"/>
      <c r="E1243" s="70"/>
      <c r="F1243" s="68"/>
      <c r="G1243" s="70"/>
      <c r="H1243" s="59"/>
      <c r="I1243" s="24"/>
      <c r="J1243" s="62"/>
      <c r="K1243" s="65"/>
      <c r="L1243" s="17"/>
      <c r="M1243" s="54"/>
      <c r="N1243" s="44"/>
      <c r="O1243" s="45"/>
      <c r="P1243" s="38"/>
      <c r="Q1243" s="45"/>
      <c r="R1243" s="38"/>
      <c r="S1243" s="39"/>
      <c r="T1243" s="32"/>
      <c r="U1243" s="78"/>
      <c r="V1243" s="81"/>
      <c r="W1243" s="81"/>
      <c r="X1243" s="81"/>
      <c r="Y1243" s="84"/>
      <c r="Z1243" s="34"/>
      <c r="AA1243" s="29"/>
      <c r="AB1243" s="29"/>
      <c r="AC1243" s="97"/>
      <c r="AD1243" s="100"/>
      <c r="AE1243" s="102"/>
    </row>
    <row r="1244" spans="1:31" ht="17.100000000000001" customHeight="1" x14ac:dyDescent="0.25">
      <c r="A1244" s="51"/>
      <c r="B1244" s="66"/>
      <c r="C1244" s="68"/>
      <c r="D1244" s="69"/>
      <c r="E1244" s="70"/>
      <c r="F1244" s="68"/>
      <c r="G1244" s="70"/>
      <c r="H1244" s="59"/>
      <c r="I1244" s="27"/>
      <c r="J1244" s="63"/>
      <c r="K1244" s="71"/>
      <c r="L1244" s="18"/>
      <c r="M1244" s="66"/>
      <c r="N1244" s="46"/>
      <c r="O1244" s="47"/>
      <c r="P1244" s="40"/>
      <c r="Q1244" s="47"/>
      <c r="R1244" s="40"/>
      <c r="S1244" s="41"/>
      <c r="T1244" s="31">
        <f>(P1245-P1242)+(R1242-R1245)</f>
        <v>0</v>
      </c>
      <c r="U1244" s="78"/>
      <c r="V1244" s="81"/>
      <c r="W1244" s="81"/>
      <c r="X1244" s="81"/>
      <c r="Y1244" s="84"/>
      <c r="Z1244" s="87"/>
      <c r="AA1244" s="49"/>
      <c r="AB1244" s="49"/>
      <c r="AC1244" s="98"/>
      <c r="AD1244" s="104"/>
      <c r="AE1244" s="102"/>
    </row>
    <row r="1245" spans="1:31" ht="17.100000000000001" customHeight="1" x14ac:dyDescent="0.25">
      <c r="A1245" s="51"/>
      <c r="B1245" s="54"/>
      <c r="C1245" s="68"/>
      <c r="D1245" s="69"/>
      <c r="E1245" s="70"/>
      <c r="F1245" s="68"/>
      <c r="G1245" s="70"/>
      <c r="H1245" s="59"/>
      <c r="I1245" s="23"/>
      <c r="J1245" s="88"/>
      <c r="K1245" s="65"/>
      <c r="L1245" s="18"/>
      <c r="M1245" s="54"/>
      <c r="N1245" s="90">
        <f>(P1242-N1242)+(P1245-P1242)+(R1242-R1245)</f>
        <v>0</v>
      </c>
      <c r="O1245" s="91"/>
      <c r="P1245" s="90"/>
      <c r="Q1245" s="91"/>
      <c r="R1245" s="90"/>
      <c r="S1245" s="94"/>
      <c r="T1245" s="32"/>
      <c r="U1245" s="78"/>
      <c r="V1245" s="81"/>
      <c r="W1245" s="81"/>
      <c r="X1245" s="81"/>
      <c r="Y1245" s="84"/>
      <c r="Z1245" s="34"/>
      <c r="AA1245" s="28"/>
      <c r="AB1245" s="28"/>
      <c r="AC1245" s="97"/>
      <c r="AD1245" s="100"/>
      <c r="AE1245" s="102"/>
    </row>
    <row r="1246" spans="1:31" ht="17.100000000000001" customHeight="1" x14ac:dyDescent="0.25">
      <c r="A1246" s="51"/>
      <c r="B1246" s="66"/>
      <c r="C1246" s="68"/>
      <c r="D1246" s="69"/>
      <c r="E1246" s="70"/>
      <c r="F1246" s="68"/>
      <c r="G1246" s="70"/>
      <c r="H1246" s="59"/>
      <c r="I1246" s="24"/>
      <c r="J1246" s="62"/>
      <c r="K1246" s="71" t="s">
        <v>51</v>
      </c>
      <c r="L1246" s="16" t="s">
        <v>51</v>
      </c>
      <c r="M1246" s="66" t="s">
        <v>51</v>
      </c>
      <c r="N1246" s="38"/>
      <c r="O1246" s="45"/>
      <c r="P1246" s="38"/>
      <c r="Q1246" s="45"/>
      <c r="R1246" s="38"/>
      <c r="S1246" s="39"/>
      <c r="T1246" s="31">
        <f t="shared" ref="T1246" si="387">R1245-P1245</f>
        <v>0</v>
      </c>
      <c r="U1246" s="78"/>
      <c r="V1246" s="81"/>
      <c r="W1246" s="81"/>
      <c r="X1246" s="81"/>
      <c r="Y1246" s="84"/>
      <c r="Z1246" s="34"/>
      <c r="AA1246" s="29"/>
      <c r="AB1246" s="29"/>
      <c r="AC1246" s="97"/>
      <c r="AD1246" s="104"/>
      <c r="AE1246" s="102"/>
    </row>
    <row r="1247" spans="1:31" ht="17.100000000000001" customHeight="1" thickBot="1" x14ac:dyDescent="0.3">
      <c r="A1247" s="52"/>
      <c r="B1247" s="67"/>
      <c r="C1247" s="73"/>
      <c r="D1247" s="74"/>
      <c r="E1247" s="75"/>
      <c r="F1247" s="73"/>
      <c r="G1247" s="75"/>
      <c r="H1247" s="60"/>
      <c r="I1247" s="25"/>
      <c r="J1247" s="89"/>
      <c r="K1247" s="72"/>
      <c r="L1247" s="19" t="s">
        <v>52</v>
      </c>
      <c r="M1247" s="67"/>
      <c r="N1247" s="92"/>
      <c r="O1247" s="93"/>
      <c r="P1247" s="92"/>
      <c r="Q1247" s="93"/>
      <c r="R1247" s="92"/>
      <c r="S1247" s="95"/>
      <c r="T1247" s="33"/>
      <c r="U1247" s="79"/>
      <c r="V1247" s="82"/>
      <c r="W1247" s="82"/>
      <c r="X1247" s="82"/>
      <c r="Y1247" s="85"/>
      <c r="Z1247" s="35"/>
      <c r="AA1247" s="30"/>
      <c r="AB1247" s="30"/>
      <c r="AC1247" s="105"/>
      <c r="AD1247" s="106"/>
      <c r="AE1247" s="103"/>
    </row>
    <row r="1249" spans="1:31" ht="17.100000000000001" customHeight="1" thickBot="1" x14ac:dyDescent="0.3"/>
    <row r="1250" spans="1:31" ht="17.100000000000001" customHeight="1" x14ac:dyDescent="0.25">
      <c r="A1250" s="50">
        <v>46023</v>
      </c>
      <c r="B1250" s="53"/>
      <c r="C1250" s="55"/>
      <c r="D1250" s="56"/>
      <c r="E1250" s="57"/>
      <c r="F1250" s="55"/>
      <c r="G1250" s="57"/>
      <c r="H1250" s="58"/>
      <c r="I1250" s="26"/>
      <c r="J1250" s="61"/>
      <c r="K1250" s="64"/>
      <c r="L1250" s="11"/>
      <c r="M1250" s="53"/>
      <c r="N1250" s="42"/>
      <c r="O1250" s="43"/>
      <c r="P1250" s="36"/>
      <c r="Q1250" s="43"/>
      <c r="R1250" s="36"/>
      <c r="S1250" s="37"/>
      <c r="T1250" s="76">
        <f t="shared" ref="T1250" si="388">R1250-P1250</f>
        <v>0</v>
      </c>
      <c r="U1250" s="77"/>
      <c r="V1250" s="80"/>
      <c r="W1250" s="80"/>
      <c r="X1250" s="80"/>
      <c r="Y1250" s="83"/>
      <c r="Z1250" s="86"/>
      <c r="AA1250" s="48"/>
      <c r="AB1250" s="48"/>
      <c r="AC1250" s="96"/>
      <c r="AD1250" s="99"/>
      <c r="AE1250" s="101"/>
    </row>
    <row r="1251" spans="1:31" ht="17.100000000000001" customHeight="1" x14ac:dyDescent="0.25">
      <c r="A1251" s="51"/>
      <c r="B1251" s="54"/>
      <c r="C1251" s="68"/>
      <c r="D1251" s="69"/>
      <c r="E1251" s="70"/>
      <c r="F1251" s="68"/>
      <c r="G1251" s="70"/>
      <c r="H1251" s="59"/>
      <c r="I1251" s="24"/>
      <c r="J1251" s="62"/>
      <c r="K1251" s="65"/>
      <c r="L1251" s="17"/>
      <c r="M1251" s="54"/>
      <c r="N1251" s="44"/>
      <c r="O1251" s="45"/>
      <c r="P1251" s="38"/>
      <c r="Q1251" s="45"/>
      <c r="R1251" s="38"/>
      <c r="S1251" s="39"/>
      <c r="T1251" s="32"/>
      <c r="U1251" s="78"/>
      <c r="V1251" s="81"/>
      <c r="W1251" s="81"/>
      <c r="X1251" s="81"/>
      <c r="Y1251" s="84"/>
      <c r="Z1251" s="34"/>
      <c r="AA1251" s="29"/>
      <c r="AB1251" s="29"/>
      <c r="AC1251" s="97"/>
      <c r="AD1251" s="100"/>
      <c r="AE1251" s="102"/>
    </row>
    <row r="1252" spans="1:31" ht="17.100000000000001" customHeight="1" x14ac:dyDescent="0.25">
      <c r="A1252" s="51"/>
      <c r="B1252" s="66"/>
      <c r="C1252" s="68"/>
      <c r="D1252" s="69"/>
      <c r="E1252" s="70"/>
      <c r="F1252" s="68"/>
      <c r="G1252" s="70"/>
      <c r="H1252" s="59"/>
      <c r="I1252" s="27"/>
      <c r="J1252" s="63"/>
      <c r="K1252" s="71"/>
      <c r="L1252" s="18"/>
      <c r="M1252" s="66"/>
      <c r="N1252" s="46"/>
      <c r="O1252" s="47"/>
      <c r="P1252" s="40"/>
      <c r="Q1252" s="47"/>
      <c r="R1252" s="40"/>
      <c r="S1252" s="41"/>
      <c r="T1252" s="31">
        <f>(P1253-P1250)+(R1250-R1253)</f>
        <v>0</v>
      </c>
      <c r="U1252" s="78"/>
      <c r="V1252" s="81"/>
      <c r="W1252" s="81"/>
      <c r="X1252" s="81"/>
      <c r="Y1252" s="84"/>
      <c r="Z1252" s="87"/>
      <c r="AA1252" s="49"/>
      <c r="AB1252" s="49"/>
      <c r="AC1252" s="98"/>
      <c r="AD1252" s="104"/>
      <c r="AE1252" s="102"/>
    </row>
    <row r="1253" spans="1:31" ht="17.100000000000001" customHeight="1" x14ac:dyDescent="0.25">
      <c r="A1253" s="51"/>
      <c r="B1253" s="54"/>
      <c r="C1253" s="68"/>
      <c r="D1253" s="69"/>
      <c r="E1253" s="70"/>
      <c r="F1253" s="68"/>
      <c r="G1253" s="70"/>
      <c r="H1253" s="59"/>
      <c r="I1253" s="23"/>
      <c r="J1253" s="88"/>
      <c r="K1253" s="65"/>
      <c r="L1253" s="18"/>
      <c r="M1253" s="54"/>
      <c r="N1253" s="90">
        <f>(P1250-N1250)+(P1253-P1250)+(R1250-R1253)</f>
        <v>0</v>
      </c>
      <c r="O1253" s="91"/>
      <c r="P1253" s="90"/>
      <c r="Q1253" s="91"/>
      <c r="R1253" s="90"/>
      <c r="S1253" s="94"/>
      <c r="T1253" s="32"/>
      <c r="U1253" s="78"/>
      <c r="V1253" s="81"/>
      <c r="W1253" s="81"/>
      <c r="X1253" s="81"/>
      <c r="Y1253" s="84"/>
      <c r="Z1253" s="34"/>
      <c r="AA1253" s="28"/>
      <c r="AB1253" s="28"/>
      <c r="AC1253" s="97"/>
      <c r="AD1253" s="100"/>
      <c r="AE1253" s="102"/>
    </row>
    <row r="1254" spans="1:31" ht="17.100000000000001" customHeight="1" x14ac:dyDescent="0.25">
      <c r="A1254" s="51"/>
      <c r="B1254" s="66"/>
      <c r="C1254" s="68"/>
      <c r="D1254" s="69"/>
      <c r="E1254" s="70"/>
      <c r="F1254" s="68"/>
      <c r="G1254" s="70"/>
      <c r="H1254" s="59"/>
      <c r="I1254" s="24"/>
      <c r="J1254" s="62"/>
      <c r="K1254" s="71" t="s">
        <v>51</v>
      </c>
      <c r="L1254" s="16" t="s">
        <v>51</v>
      </c>
      <c r="M1254" s="66" t="s">
        <v>51</v>
      </c>
      <c r="N1254" s="38"/>
      <c r="O1254" s="45"/>
      <c r="P1254" s="38"/>
      <c r="Q1254" s="45"/>
      <c r="R1254" s="38"/>
      <c r="S1254" s="39"/>
      <c r="T1254" s="31">
        <f t="shared" ref="T1254" si="389">R1253-P1253</f>
        <v>0</v>
      </c>
      <c r="U1254" s="78"/>
      <c r="V1254" s="81"/>
      <c r="W1254" s="81"/>
      <c r="X1254" s="81"/>
      <c r="Y1254" s="84"/>
      <c r="Z1254" s="34"/>
      <c r="AA1254" s="29"/>
      <c r="AB1254" s="29"/>
      <c r="AC1254" s="97"/>
      <c r="AD1254" s="104"/>
      <c r="AE1254" s="102"/>
    </row>
    <row r="1255" spans="1:31" ht="17.100000000000001" customHeight="1" thickBot="1" x14ac:dyDescent="0.3">
      <c r="A1255" s="52"/>
      <c r="B1255" s="67"/>
      <c r="C1255" s="73"/>
      <c r="D1255" s="74"/>
      <c r="E1255" s="75"/>
      <c r="F1255" s="73"/>
      <c r="G1255" s="75"/>
      <c r="H1255" s="60"/>
      <c r="I1255" s="25"/>
      <c r="J1255" s="89"/>
      <c r="K1255" s="72"/>
      <c r="L1255" s="19" t="s">
        <v>52</v>
      </c>
      <c r="M1255" s="67"/>
      <c r="N1255" s="92"/>
      <c r="O1255" s="93"/>
      <c r="P1255" s="92"/>
      <c r="Q1255" s="93"/>
      <c r="R1255" s="92"/>
      <c r="S1255" s="95"/>
      <c r="T1255" s="33"/>
      <c r="U1255" s="79"/>
      <c r="V1255" s="82"/>
      <c r="W1255" s="82"/>
      <c r="X1255" s="82"/>
      <c r="Y1255" s="85"/>
      <c r="Z1255" s="35"/>
      <c r="AA1255" s="30"/>
      <c r="AB1255" s="30"/>
      <c r="AC1255" s="105"/>
      <c r="AD1255" s="106"/>
      <c r="AE1255" s="103"/>
    </row>
    <row r="1256" spans="1:31" ht="17.100000000000001" customHeight="1" x14ac:dyDescent="0.25">
      <c r="A1256" s="50">
        <v>46023</v>
      </c>
      <c r="B1256" s="53"/>
      <c r="C1256" s="55"/>
      <c r="D1256" s="56"/>
      <c r="E1256" s="57"/>
      <c r="F1256" s="55"/>
      <c r="G1256" s="57"/>
      <c r="H1256" s="58"/>
      <c r="I1256" s="26"/>
      <c r="J1256" s="61"/>
      <c r="K1256" s="64"/>
      <c r="L1256" s="11"/>
      <c r="M1256" s="53"/>
      <c r="N1256" s="42"/>
      <c r="O1256" s="43"/>
      <c r="P1256" s="36"/>
      <c r="Q1256" s="43"/>
      <c r="R1256" s="36"/>
      <c r="S1256" s="37"/>
      <c r="T1256" s="76">
        <f t="shared" ref="T1256" si="390">R1256-P1256</f>
        <v>0</v>
      </c>
      <c r="U1256" s="77"/>
      <c r="V1256" s="80"/>
      <c r="W1256" s="80"/>
      <c r="X1256" s="80"/>
      <c r="Y1256" s="83"/>
      <c r="Z1256" s="86"/>
      <c r="AA1256" s="48"/>
      <c r="AB1256" s="48"/>
      <c r="AC1256" s="96"/>
      <c r="AD1256" s="99"/>
      <c r="AE1256" s="101"/>
    </row>
    <row r="1257" spans="1:31" ht="17.100000000000001" customHeight="1" x14ac:dyDescent="0.25">
      <c r="A1257" s="51"/>
      <c r="B1257" s="54"/>
      <c r="C1257" s="68"/>
      <c r="D1257" s="69"/>
      <c r="E1257" s="70"/>
      <c r="F1257" s="68"/>
      <c r="G1257" s="70"/>
      <c r="H1257" s="59"/>
      <c r="I1257" s="24"/>
      <c r="J1257" s="62"/>
      <c r="K1257" s="65"/>
      <c r="L1257" s="17"/>
      <c r="M1257" s="54"/>
      <c r="N1257" s="44"/>
      <c r="O1257" s="45"/>
      <c r="P1257" s="38"/>
      <c r="Q1257" s="45"/>
      <c r="R1257" s="38"/>
      <c r="S1257" s="39"/>
      <c r="T1257" s="32"/>
      <c r="U1257" s="78"/>
      <c r="V1257" s="81"/>
      <c r="W1257" s="81"/>
      <c r="X1257" s="81"/>
      <c r="Y1257" s="84"/>
      <c r="Z1257" s="34"/>
      <c r="AA1257" s="29"/>
      <c r="AB1257" s="29"/>
      <c r="AC1257" s="97"/>
      <c r="AD1257" s="100"/>
      <c r="AE1257" s="102"/>
    </row>
    <row r="1258" spans="1:31" ht="17.100000000000001" customHeight="1" x14ac:dyDescent="0.25">
      <c r="A1258" s="51"/>
      <c r="B1258" s="66"/>
      <c r="C1258" s="68"/>
      <c r="D1258" s="69"/>
      <c r="E1258" s="70"/>
      <c r="F1258" s="68"/>
      <c r="G1258" s="70"/>
      <c r="H1258" s="59"/>
      <c r="I1258" s="27"/>
      <c r="J1258" s="63"/>
      <c r="K1258" s="71"/>
      <c r="L1258" s="18"/>
      <c r="M1258" s="66"/>
      <c r="N1258" s="46"/>
      <c r="O1258" s="47"/>
      <c r="P1258" s="40"/>
      <c r="Q1258" s="47"/>
      <c r="R1258" s="40"/>
      <c r="S1258" s="41"/>
      <c r="T1258" s="31">
        <f>(P1259-P1256)+(R1256-R1259)</f>
        <v>0</v>
      </c>
      <c r="U1258" s="78"/>
      <c r="V1258" s="81"/>
      <c r="W1258" s="81"/>
      <c r="X1258" s="81"/>
      <c r="Y1258" s="84"/>
      <c r="Z1258" s="87"/>
      <c r="AA1258" s="49"/>
      <c r="AB1258" s="49"/>
      <c r="AC1258" s="98"/>
      <c r="AD1258" s="104"/>
      <c r="AE1258" s="102"/>
    </row>
    <row r="1259" spans="1:31" ht="17.100000000000001" customHeight="1" x14ac:dyDescent="0.25">
      <c r="A1259" s="51"/>
      <c r="B1259" s="54"/>
      <c r="C1259" s="68"/>
      <c r="D1259" s="69"/>
      <c r="E1259" s="70"/>
      <c r="F1259" s="68"/>
      <c r="G1259" s="70"/>
      <c r="H1259" s="59"/>
      <c r="I1259" s="23"/>
      <c r="J1259" s="88"/>
      <c r="K1259" s="65"/>
      <c r="L1259" s="18"/>
      <c r="M1259" s="54"/>
      <c r="N1259" s="90">
        <f>(P1256-N1256)+(P1259-P1256)+(R1256-R1259)</f>
        <v>0</v>
      </c>
      <c r="O1259" s="91"/>
      <c r="P1259" s="90"/>
      <c r="Q1259" s="91"/>
      <c r="R1259" s="90"/>
      <c r="S1259" s="94"/>
      <c r="T1259" s="32"/>
      <c r="U1259" s="78"/>
      <c r="V1259" s="81"/>
      <c r="W1259" s="81"/>
      <c r="X1259" s="81"/>
      <c r="Y1259" s="84"/>
      <c r="Z1259" s="34"/>
      <c r="AA1259" s="28"/>
      <c r="AB1259" s="28"/>
      <c r="AC1259" s="97"/>
      <c r="AD1259" s="100"/>
      <c r="AE1259" s="102"/>
    </row>
    <row r="1260" spans="1:31" ht="17.100000000000001" customHeight="1" x14ac:dyDescent="0.25">
      <c r="A1260" s="51"/>
      <c r="B1260" s="66"/>
      <c r="C1260" s="68"/>
      <c r="D1260" s="69"/>
      <c r="E1260" s="70"/>
      <c r="F1260" s="68"/>
      <c r="G1260" s="70"/>
      <c r="H1260" s="59"/>
      <c r="I1260" s="24"/>
      <c r="J1260" s="62"/>
      <c r="K1260" s="71" t="s">
        <v>51</v>
      </c>
      <c r="L1260" s="16" t="s">
        <v>51</v>
      </c>
      <c r="M1260" s="66" t="s">
        <v>51</v>
      </c>
      <c r="N1260" s="38"/>
      <c r="O1260" s="45"/>
      <c r="P1260" s="38"/>
      <c r="Q1260" s="45"/>
      <c r="R1260" s="38"/>
      <c r="S1260" s="39"/>
      <c r="T1260" s="31">
        <f t="shared" ref="T1260" si="391">R1259-P1259</f>
        <v>0</v>
      </c>
      <c r="U1260" s="78"/>
      <c r="V1260" s="81"/>
      <c r="W1260" s="81"/>
      <c r="X1260" s="81"/>
      <c r="Y1260" s="84"/>
      <c r="Z1260" s="34"/>
      <c r="AA1260" s="29"/>
      <c r="AB1260" s="29"/>
      <c r="AC1260" s="97"/>
      <c r="AD1260" s="104"/>
      <c r="AE1260" s="102"/>
    </row>
    <row r="1261" spans="1:31" ht="17.100000000000001" customHeight="1" thickBot="1" x14ac:dyDescent="0.3">
      <c r="A1261" s="52"/>
      <c r="B1261" s="67"/>
      <c r="C1261" s="73"/>
      <c r="D1261" s="74"/>
      <c r="E1261" s="75"/>
      <c r="F1261" s="73"/>
      <c r="G1261" s="75"/>
      <c r="H1261" s="60"/>
      <c r="I1261" s="25"/>
      <c r="J1261" s="89"/>
      <c r="K1261" s="72"/>
      <c r="L1261" s="19" t="s">
        <v>52</v>
      </c>
      <c r="M1261" s="67"/>
      <c r="N1261" s="92"/>
      <c r="O1261" s="93"/>
      <c r="P1261" s="92"/>
      <c r="Q1261" s="93"/>
      <c r="R1261" s="92"/>
      <c r="S1261" s="95"/>
      <c r="T1261" s="33"/>
      <c r="U1261" s="79"/>
      <c r="V1261" s="82"/>
      <c r="W1261" s="82"/>
      <c r="X1261" s="82"/>
      <c r="Y1261" s="85"/>
      <c r="Z1261" s="35"/>
      <c r="AA1261" s="30"/>
      <c r="AB1261" s="30"/>
      <c r="AC1261" s="105"/>
      <c r="AD1261" s="106"/>
      <c r="AE1261" s="103"/>
    </row>
    <row r="1262" spans="1:31" ht="17.100000000000001" customHeight="1" x14ac:dyDescent="0.25">
      <c r="A1262" s="50">
        <v>46023</v>
      </c>
      <c r="B1262" s="53"/>
      <c r="C1262" s="55"/>
      <c r="D1262" s="56"/>
      <c r="E1262" s="57"/>
      <c r="F1262" s="55"/>
      <c r="G1262" s="57"/>
      <c r="H1262" s="58"/>
      <c r="I1262" s="26"/>
      <c r="J1262" s="61"/>
      <c r="K1262" s="64"/>
      <c r="L1262" s="11"/>
      <c r="M1262" s="53"/>
      <c r="N1262" s="42"/>
      <c r="O1262" s="43"/>
      <c r="P1262" s="36"/>
      <c r="Q1262" s="43"/>
      <c r="R1262" s="36"/>
      <c r="S1262" s="37"/>
      <c r="T1262" s="76">
        <f t="shared" ref="T1262" si="392">R1262-P1262</f>
        <v>0</v>
      </c>
      <c r="U1262" s="77"/>
      <c r="V1262" s="80"/>
      <c r="W1262" s="80"/>
      <c r="X1262" s="80"/>
      <c r="Y1262" s="83"/>
      <c r="Z1262" s="86"/>
      <c r="AA1262" s="48"/>
      <c r="AB1262" s="48"/>
      <c r="AC1262" s="96"/>
      <c r="AD1262" s="99"/>
      <c r="AE1262" s="101"/>
    </row>
    <row r="1263" spans="1:31" ht="17.100000000000001" customHeight="1" x14ac:dyDescent="0.25">
      <c r="A1263" s="51"/>
      <c r="B1263" s="54"/>
      <c r="C1263" s="68"/>
      <c r="D1263" s="69"/>
      <c r="E1263" s="70"/>
      <c r="F1263" s="68"/>
      <c r="G1263" s="70"/>
      <c r="H1263" s="59"/>
      <c r="I1263" s="24"/>
      <c r="J1263" s="62"/>
      <c r="K1263" s="65"/>
      <c r="L1263" s="17"/>
      <c r="M1263" s="54"/>
      <c r="N1263" s="44"/>
      <c r="O1263" s="45"/>
      <c r="P1263" s="38"/>
      <c r="Q1263" s="45"/>
      <c r="R1263" s="38"/>
      <c r="S1263" s="39"/>
      <c r="T1263" s="32"/>
      <c r="U1263" s="78"/>
      <c r="V1263" s="81"/>
      <c r="W1263" s="81"/>
      <c r="X1263" s="81"/>
      <c r="Y1263" s="84"/>
      <c r="Z1263" s="34"/>
      <c r="AA1263" s="29"/>
      <c r="AB1263" s="29"/>
      <c r="AC1263" s="97"/>
      <c r="AD1263" s="100"/>
      <c r="AE1263" s="102"/>
    </row>
    <row r="1264" spans="1:31" ht="17.100000000000001" customHeight="1" x14ac:dyDescent="0.25">
      <c r="A1264" s="51"/>
      <c r="B1264" s="66"/>
      <c r="C1264" s="68"/>
      <c r="D1264" s="69"/>
      <c r="E1264" s="70"/>
      <c r="F1264" s="68"/>
      <c r="G1264" s="70"/>
      <c r="H1264" s="59"/>
      <c r="I1264" s="27"/>
      <c r="J1264" s="63"/>
      <c r="K1264" s="71"/>
      <c r="L1264" s="18"/>
      <c r="M1264" s="66"/>
      <c r="N1264" s="46"/>
      <c r="O1264" s="47"/>
      <c r="P1264" s="40"/>
      <c r="Q1264" s="47"/>
      <c r="R1264" s="40"/>
      <c r="S1264" s="41"/>
      <c r="T1264" s="31">
        <f>(P1265-P1262)+(R1262-R1265)</f>
        <v>0</v>
      </c>
      <c r="U1264" s="78"/>
      <c r="V1264" s="81"/>
      <c r="W1264" s="81"/>
      <c r="X1264" s="81"/>
      <c r="Y1264" s="84"/>
      <c r="Z1264" s="87"/>
      <c r="AA1264" s="49"/>
      <c r="AB1264" s="49"/>
      <c r="AC1264" s="98"/>
      <c r="AD1264" s="104"/>
      <c r="AE1264" s="102"/>
    </row>
    <row r="1265" spans="1:31" ht="17.100000000000001" customHeight="1" x14ac:dyDescent="0.25">
      <c r="A1265" s="51"/>
      <c r="B1265" s="54"/>
      <c r="C1265" s="68"/>
      <c r="D1265" s="69"/>
      <c r="E1265" s="70"/>
      <c r="F1265" s="68"/>
      <c r="G1265" s="70"/>
      <c r="H1265" s="59"/>
      <c r="I1265" s="23"/>
      <c r="J1265" s="88"/>
      <c r="K1265" s="65"/>
      <c r="L1265" s="18"/>
      <c r="M1265" s="54"/>
      <c r="N1265" s="90">
        <f>(P1262-N1262)+(P1265-P1262)+(R1262-R1265)</f>
        <v>0</v>
      </c>
      <c r="O1265" s="91"/>
      <c r="P1265" s="90"/>
      <c r="Q1265" s="91"/>
      <c r="R1265" s="90"/>
      <c r="S1265" s="94"/>
      <c r="T1265" s="32"/>
      <c r="U1265" s="78"/>
      <c r="V1265" s="81"/>
      <c r="W1265" s="81"/>
      <c r="X1265" s="81"/>
      <c r="Y1265" s="84"/>
      <c r="Z1265" s="34"/>
      <c r="AA1265" s="28"/>
      <c r="AB1265" s="28"/>
      <c r="AC1265" s="97"/>
      <c r="AD1265" s="100"/>
      <c r="AE1265" s="102"/>
    </row>
    <row r="1266" spans="1:31" ht="17.100000000000001" customHeight="1" x14ac:dyDescent="0.25">
      <c r="A1266" s="51"/>
      <c r="B1266" s="66"/>
      <c r="C1266" s="68"/>
      <c r="D1266" s="69"/>
      <c r="E1266" s="70"/>
      <c r="F1266" s="68"/>
      <c r="G1266" s="70"/>
      <c r="H1266" s="59"/>
      <c r="I1266" s="24"/>
      <c r="J1266" s="62"/>
      <c r="K1266" s="71" t="s">
        <v>51</v>
      </c>
      <c r="L1266" s="16" t="s">
        <v>51</v>
      </c>
      <c r="M1266" s="66" t="s">
        <v>51</v>
      </c>
      <c r="N1266" s="38"/>
      <c r="O1266" s="45"/>
      <c r="P1266" s="38"/>
      <c r="Q1266" s="45"/>
      <c r="R1266" s="38"/>
      <c r="S1266" s="39"/>
      <c r="T1266" s="31">
        <f t="shared" ref="T1266" si="393">R1265-P1265</f>
        <v>0</v>
      </c>
      <c r="U1266" s="78"/>
      <c r="V1266" s="81"/>
      <c r="W1266" s="81"/>
      <c r="X1266" s="81"/>
      <c r="Y1266" s="84"/>
      <c r="Z1266" s="34"/>
      <c r="AA1266" s="29"/>
      <c r="AB1266" s="29"/>
      <c r="AC1266" s="97"/>
      <c r="AD1266" s="104"/>
      <c r="AE1266" s="102"/>
    </row>
    <row r="1267" spans="1:31" ht="17.100000000000001" customHeight="1" thickBot="1" x14ac:dyDescent="0.3">
      <c r="A1267" s="52"/>
      <c r="B1267" s="67"/>
      <c r="C1267" s="73"/>
      <c r="D1267" s="74"/>
      <c r="E1267" s="75"/>
      <c r="F1267" s="73"/>
      <c r="G1267" s="75"/>
      <c r="H1267" s="60"/>
      <c r="I1267" s="25"/>
      <c r="J1267" s="89"/>
      <c r="K1267" s="72"/>
      <c r="L1267" s="19" t="s">
        <v>52</v>
      </c>
      <c r="M1267" s="67"/>
      <c r="N1267" s="92"/>
      <c r="O1267" s="93"/>
      <c r="P1267" s="92"/>
      <c r="Q1267" s="93"/>
      <c r="R1267" s="92"/>
      <c r="S1267" s="95"/>
      <c r="T1267" s="33"/>
      <c r="U1267" s="79"/>
      <c r="V1267" s="82"/>
      <c r="W1267" s="82"/>
      <c r="X1267" s="82"/>
      <c r="Y1267" s="85"/>
      <c r="Z1267" s="35"/>
      <c r="AA1267" s="30"/>
      <c r="AB1267" s="30"/>
      <c r="AC1267" s="105"/>
      <c r="AD1267" s="106"/>
      <c r="AE1267" s="103"/>
    </row>
    <row r="1268" spans="1:31" ht="17.100000000000001" customHeight="1" x14ac:dyDescent="0.25">
      <c r="A1268" s="50">
        <v>46023</v>
      </c>
      <c r="B1268" s="53"/>
      <c r="C1268" s="55"/>
      <c r="D1268" s="56"/>
      <c r="E1268" s="57"/>
      <c r="F1268" s="55"/>
      <c r="G1268" s="57"/>
      <c r="H1268" s="58"/>
      <c r="I1268" s="26"/>
      <c r="J1268" s="61"/>
      <c r="K1268" s="64"/>
      <c r="L1268" s="11"/>
      <c r="M1268" s="53"/>
      <c r="N1268" s="42"/>
      <c r="O1268" s="43"/>
      <c r="P1268" s="36"/>
      <c r="Q1268" s="43"/>
      <c r="R1268" s="36"/>
      <c r="S1268" s="37"/>
      <c r="T1268" s="76">
        <f t="shared" ref="T1268" si="394">R1268-P1268</f>
        <v>0</v>
      </c>
      <c r="U1268" s="77"/>
      <c r="V1268" s="80"/>
      <c r="W1268" s="80"/>
      <c r="X1268" s="80"/>
      <c r="Y1268" s="83"/>
      <c r="Z1268" s="86"/>
      <c r="AA1268" s="48"/>
      <c r="AB1268" s="48"/>
      <c r="AC1268" s="96"/>
      <c r="AD1268" s="99"/>
      <c r="AE1268" s="101"/>
    </row>
    <row r="1269" spans="1:31" ht="17.100000000000001" customHeight="1" x14ac:dyDescent="0.25">
      <c r="A1269" s="51"/>
      <c r="B1269" s="54"/>
      <c r="C1269" s="68"/>
      <c r="D1269" s="69"/>
      <c r="E1269" s="70"/>
      <c r="F1269" s="68"/>
      <c r="G1269" s="70"/>
      <c r="H1269" s="59"/>
      <c r="I1269" s="24"/>
      <c r="J1269" s="62"/>
      <c r="K1269" s="65"/>
      <c r="L1269" s="17"/>
      <c r="M1269" s="54"/>
      <c r="N1269" s="44"/>
      <c r="O1269" s="45"/>
      <c r="P1269" s="38"/>
      <c r="Q1269" s="45"/>
      <c r="R1269" s="38"/>
      <c r="S1269" s="39"/>
      <c r="T1269" s="32"/>
      <c r="U1269" s="78"/>
      <c r="V1269" s="81"/>
      <c r="W1269" s="81"/>
      <c r="X1269" s="81"/>
      <c r="Y1269" s="84"/>
      <c r="Z1269" s="34"/>
      <c r="AA1269" s="29"/>
      <c r="AB1269" s="29"/>
      <c r="AC1269" s="97"/>
      <c r="AD1269" s="100"/>
      <c r="AE1269" s="102"/>
    </row>
    <row r="1270" spans="1:31" ht="17.100000000000001" customHeight="1" x14ac:dyDescent="0.25">
      <c r="A1270" s="51"/>
      <c r="B1270" s="66"/>
      <c r="C1270" s="68"/>
      <c r="D1270" s="69"/>
      <c r="E1270" s="70"/>
      <c r="F1270" s="68"/>
      <c r="G1270" s="70"/>
      <c r="H1270" s="59"/>
      <c r="I1270" s="27"/>
      <c r="J1270" s="63"/>
      <c r="K1270" s="71"/>
      <c r="L1270" s="18"/>
      <c r="M1270" s="66"/>
      <c r="N1270" s="46"/>
      <c r="O1270" s="47"/>
      <c r="P1270" s="40"/>
      <c r="Q1270" s="47"/>
      <c r="R1270" s="40"/>
      <c r="S1270" s="41"/>
      <c r="T1270" s="31">
        <f>(P1271-P1268)+(R1268-R1271)</f>
        <v>0</v>
      </c>
      <c r="U1270" s="78"/>
      <c r="V1270" s="81"/>
      <c r="W1270" s="81"/>
      <c r="X1270" s="81"/>
      <c r="Y1270" s="84"/>
      <c r="Z1270" s="87"/>
      <c r="AA1270" s="49"/>
      <c r="AB1270" s="49"/>
      <c r="AC1270" s="98"/>
      <c r="AD1270" s="104"/>
      <c r="AE1270" s="102"/>
    </row>
    <row r="1271" spans="1:31" ht="17.100000000000001" customHeight="1" x14ac:dyDescent="0.25">
      <c r="A1271" s="51"/>
      <c r="B1271" s="54"/>
      <c r="C1271" s="68"/>
      <c r="D1271" s="69"/>
      <c r="E1271" s="70"/>
      <c r="F1271" s="68"/>
      <c r="G1271" s="70"/>
      <c r="H1271" s="59"/>
      <c r="I1271" s="23"/>
      <c r="J1271" s="88"/>
      <c r="K1271" s="65"/>
      <c r="L1271" s="18"/>
      <c r="M1271" s="54"/>
      <c r="N1271" s="90">
        <f>(P1268-N1268)+(P1271-P1268)+(R1268-R1271)</f>
        <v>0</v>
      </c>
      <c r="O1271" s="91"/>
      <c r="P1271" s="90"/>
      <c r="Q1271" s="91"/>
      <c r="R1271" s="90"/>
      <c r="S1271" s="94"/>
      <c r="T1271" s="32"/>
      <c r="U1271" s="78"/>
      <c r="V1271" s="81"/>
      <c r="W1271" s="81"/>
      <c r="X1271" s="81"/>
      <c r="Y1271" s="84"/>
      <c r="Z1271" s="34"/>
      <c r="AA1271" s="28"/>
      <c r="AB1271" s="28"/>
      <c r="AC1271" s="97"/>
      <c r="AD1271" s="100"/>
      <c r="AE1271" s="102"/>
    </row>
    <row r="1272" spans="1:31" ht="17.100000000000001" customHeight="1" x14ac:dyDescent="0.25">
      <c r="A1272" s="51"/>
      <c r="B1272" s="66"/>
      <c r="C1272" s="68"/>
      <c r="D1272" s="69"/>
      <c r="E1272" s="70"/>
      <c r="F1272" s="68"/>
      <c r="G1272" s="70"/>
      <c r="H1272" s="59"/>
      <c r="I1272" s="24"/>
      <c r="J1272" s="62"/>
      <c r="K1272" s="71" t="s">
        <v>51</v>
      </c>
      <c r="L1272" s="16" t="s">
        <v>51</v>
      </c>
      <c r="M1272" s="66" t="s">
        <v>51</v>
      </c>
      <c r="N1272" s="38"/>
      <c r="O1272" s="45"/>
      <c r="P1272" s="38"/>
      <c r="Q1272" s="45"/>
      <c r="R1272" s="38"/>
      <c r="S1272" s="39"/>
      <c r="T1272" s="31">
        <f t="shared" ref="T1272" si="395">R1271-P1271</f>
        <v>0</v>
      </c>
      <c r="U1272" s="78"/>
      <c r="V1272" s="81"/>
      <c r="W1272" s="81"/>
      <c r="X1272" s="81"/>
      <c r="Y1272" s="84"/>
      <c r="Z1272" s="34"/>
      <c r="AA1272" s="29"/>
      <c r="AB1272" s="29"/>
      <c r="AC1272" s="97"/>
      <c r="AD1272" s="104"/>
      <c r="AE1272" s="102"/>
    </row>
    <row r="1273" spans="1:31" ht="17.100000000000001" customHeight="1" thickBot="1" x14ac:dyDescent="0.3">
      <c r="A1273" s="52"/>
      <c r="B1273" s="67"/>
      <c r="C1273" s="73"/>
      <c r="D1273" s="74"/>
      <c r="E1273" s="75"/>
      <c r="F1273" s="73"/>
      <c r="G1273" s="75"/>
      <c r="H1273" s="60"/>
      <c r="I1273" s="25"/>
      <c r="J1273" s="89"/>
      <c r="K1273" s="72"/>
      <c r="L1273" s="19" t="s">
        <v>52</v>
      </c>
      <c r="M1273" s="67"/>
      <c r="N1273" s="92"/>
      <c r="O1273" s="93"/>
      <c r="P1273" s="92"/>
      <c r="Q1273" s="93"/>
      <c r="R1273" s="92"/>
      <c r="S1273" s="95"/>
      <c r="T1273" s="33"/>
      <c r="U1273" s="79"/>
      <c r="V1273" s="82"/>
      <c r="W1273" s="82"/>
      <c r="X1273" s="82"/>
      <c r="Y1273" s="85"/>
      <c r="Z1273" s="35"/>
      <c r="AA1273" s="30"/>
      <c r="AB1273" s="30"/>
      <c r="AC1273" s="105"/>
      <c r="AD1273" s="106"/>
      <c r="AE1273" s="103"/>
    </row>
    <row r="1274" spans="1:31" ht="17.100000000000001" customHeight="1" x14ac:dyDescent="0.25">
      <c r="A1274" s="50">
        <v>46023</v>
      </c>
      <c r="B1274" s="53"/>
      <c r="C1274" s="55"/>
      <c r="D1274" s="56"/>
      <c r="E1274" s="57"/>
      <c r="F1274" s="55"/>
      <c r="G1274" s="57"/>
      <c r="H1274" s="58"/>
      <c r="I1274" s="26"/>
      <c r="J1274" s="61"/>
      <c r="K1274" s="64"/>
      <c r="L1274" s="11"/>
      <c r="M1274" s="53"/>
      <c r="N1274" s="42"/>
      <c r="O1274" s="43"/>
      <c r="P1274" s="36"/>
      <c r="Q1274" s="43"/>
      <c r="R1274" s="36"/>
      <c r="S1274" s="37"/>
      <c r="T1274" s="76">
        <f t="shared" ref="T1274" si="396">R1274-P1274</f>
        <v>0</v>
      </c>
      <c r="U1274" s="77"/>
      <c r="V1274" s="80"/>
      <c r="W1274" s="80"/>
      <c r="X1274" s="80"/>
      <c r="Y1274" s="83"/>
      <c r="Z1274" s="86"/>
      <c r="AA1274" s="48"/>
      <c r="AB1274" s="48"/>
      <c r="AC1274" s="96"/>
      <c r="AD1274" s="99"/>
      <c r="AE1274" s="101"/>
    </row>
    <row r="1275" spans="1:31" ht="17.100000000000001" customHeight="1" x14ac:dyDescent="0.25">
      <c r="A1275" s="51"/>
      <c r="B1275" s="54"/>
      <c r="C1275" s="68"/>
      <c r="D1275" s="69"/>
      <c r="E1275" s="70"/>
      <c r="F1275" s="68"/>
      <c r="G1275" s="70"/>
      <c r="H1275" s="59"/>
      <c r="I1275" s="24"/>
      <c r="J1275" s="62"/>
      <c r="K1275" s="65"/>
      <c r="L1275" s="17"/>
      <c r="M1275" s="54"/>
      <c r="N1275" s="44"/>
      <c r="O1275" s="45"/>
      <c r="P1275" s="38"/>
      <c r="Q1275" s="45"/>
      <c r="R1275" s="38"/>
      <c r="S1275" s="39"/>
      <c r="T1275" s="32"/>
      <c r="U1275" s="78"/>
      <c r="V1275" s="81"/>
      <c r="W1275" s="81"/>
      <c r="X1275" s="81"/>
      <c r="Y1275" s="84"/>
      <c r="Z1275" s="34"/>
      <c r="AA1275" s="29"/>
      <c r="AB1275" s="29"/>
      <c r="AC1275" s="97"/>
      <c r="AD1275" s="100"/>
      <c r="AE1275" s="102"/>
    </row>
    <row r="1276" spans="1:31" ht="17.100000000000001" customHeight="1" x14ac:dyDescent="0.25">
      <c r="A1276" s="51"/>
      <c r="B1276" s="66"/>
      <c r="C1276" s="68"/>
      <c r="D1276" s="69"/>
      <c r="E1276" s="70"/>
      <c r="F1276" s="68"/>
      <c r="G1276" s="70"/>
      <c r="H1276" s="59"/>
      <c r="I1276" s="27"/>
      <c r="J1276" s="63"/>
      <c r="K1276" s="71"/>
      <c r="L1276" s="18"/>
      <c r="M1276" s="66"/>
      <c r="N1276" s="46"/>
      <c r="O1276" s="47"/>
      <c r="P1276" s="40"/>
      <c r="Q1276" s="47"/>
      <c r="R1276" s="40"/>
      <c r="S1276" s="41"/>
      <c r="T1276" s="31">
        <f>(P1277-P1274)+(R1274-R1277)</f>
        <v>0</v>
      </c>
      <c r="U1276" s="78"/>
      <c r="V1276" s="81"/>
      <c r="W1276" s="81"/>
      <c r="X1276" s="81"/>
      <c r="Y1276" s="84"/>
      <c r="Z1276" s="87"/>
      <c r="AA1276" s="49"/>
      <c r="AB1276" s="49"/>
      <c r="AC1276" s="98"/>
      <c r="AD1276" s="104"/>
      <c r="AE1276" s="102"/>
    </row>
    <row r="1277" spans="1:31" ht="17.100000000000001" customHeight="1" x14ac:dyDescent="0.25">
      <c r="A1277" s="51"/>
      <c r="B1277" s="54"/>
      <c r="C1277" s="68"/>
      <c r="D1277" s="69"/>
      <c r="E1277" s="70"/>
      <c r="F1277" s="68"/>
      <c r="G1277" s="70"/>
      <c r="H1277" s="59"/>
      <c r="I1277" s="23"/>
      <c r="J1277" s="88"/>
      <c r="K1277" s="65"/>
      <c r="L1277" s="18"/>
      <c r="M1277" s="54"/>
      <c r="N1277" s="90">
        <f>(P1274-N1274)+(P1277-P1274)+(R1274-R1277)</f>
        <v>0</v>
      </c>
      <c r="O1277" s="91"/>
      <c r="P1277" s="90"/>
      <c r="Q1277" s="91"/>
      <c r="R1277" s="90"/>
      <c r="S1277" s="94"/>
      <c r="T1277" s="32"/>
      <c r="U1277" s="78"/>
      <c r="V1277" s="81"/>
      <c r="W1277" s="81"/>
      <c r="X1277" s="81"/>
      <c r="Y1277" s="84"/>
      <c r="Z1277" s="34"/>
      <c r="AA1277" s="28"/>
      <c r="AB1277" s="28"/>
      <c r="AC1277" s="97"/>
      <c r="AD1277" s="100"/>
      <c r="AE1277" s="102"/>
    </row>
    <row r="1278" spans="1:31" ht="17.100000000000001" customHeight="1" x14ac:dyDescent="0.25">
      <c r="A1278" s="51"/>
      <c r="B1278" s="66"/>
      <c r="C1278" s="68"/>
      <c r="D1278" s="69"/>
      <c r="E1278" s="70"/>
      <c r="F1278" s="68"/>
      <c r="G1278" s="70"/>
      <c r="H1278" s="59"/>
      <c r="I1278" s="24"/>
      <c r="J1278" s="62"/>
      <c r="K1278" s="71" t="s">
        <v>51</v>
      </c>
      <c r="L1278" s="16" t="s">
        <v>51</v>
      </c>
      <c r="M1278" s="66" t="s">
        <v>51</v>
      </c>
      <c r="N1278" s="38"/>
      <c r="O1278" s="45"/>
      <c r="P1278" s="38"/>
      <c r="Q1278" s="45"/>
      <c r="R1278" s="38"/>
      <c r="S1278" s="39"/>
      <c r="T1278" s="31">
        <f t="shared" ref="T1278" si="397">R1277-P1277</f>
        <v>0</v>
      </c>
      <c r="U1278" s="78"/>
      <c r="V1278" s="81"/>
      <c r="W1278" s="81"/>
      <c r="X1278" s="81"/>
      <c r="Y1278" s="84"/>
      <c r="Z1278" s="34"/>
      <c r="AA1278" s="29"/>
      <c r="AB1278" s="29"/>
      <c r="AC1278" s="97"/>
      <c r="AD1278" s="104"/>
      <c r="AE1278" s="102"/>
    </row>
    <row r="1279" spans="1:31" ht="17.100000000000001" customHeight="1" thickBot="1" x14ac:dyDescent="0.3">
      <c r="A1279" s="52"/>
      <c r="B1279" s="67"/>
      <c r="C1279" s="73"/>
      <c r="D1279" s="74"/>
      <c r="E1279" s="75"/>
      <c r="F1279" s="73"/>
      <c r="G1279" s="75"/>
      <c r="H1279" s="60"/>
      <c r="I1279" s="25"/>
      <c r="J1279" s="89"/>
      <c r="K1279" s="72"/>
      <c r="L1279" s="19" t="s">
        <v>52</v>
      </c>
      <c r="M1279" s="67"/>
      <c r="N1279" s="92"/>
      <c r="O1279" s="93"/>
      <c r="P1279" s="92"/>
      <c r="Q1279" s="93"/>
      <c r="R1279" s="92"/>
      <c r="S1279" s="95"/>
      <c r="T1279" s="33"/>
      <c r="U1279" s="79"/>
      <c r="V1279" s="82"/>
      <c r="W1279" s="82"/>
      <c r="X1279" s="82"/>
      <c r="Y1279" s="85"/>
      <c r="Z1279" s="35"/>
      <c r="AA1279" s="30"/>
      <c r="AB1279" s="30"/>
      <c r="AC1279" s="105"/>
      <c r="AD1279" s="106"/>
      <c r="AE1279" s="103"/>
    </row>
  </sheetData>
  <mergeCells count="10597">
    <mergeCell ref="I1230:I1232"/>
    <mergeCell ref="I1233:I1235"/>
    <mergeCell ref="I1236:I1238"/>
    <mergeCell ref="I1239:I1241"/>
    <mergeCell ref="I1242:I1244"/>
    <mergeCell ref="I1245:I1247"/>
    <mergeCell ref="I1250:I1252"/>
    <mergeCell ref="I1253:I1255"/>
    <mergeCell ref="I1256:I1258"/>
    <mergeCell ref="I1259:I1261"/>
    <mergeCell ref="I1262:I1264"/>
    <mergeCell ref="I1265:I1267"/>
    <mergeCell ref="I1268:I1270"/>
    <mergeCell ref="I1271:I1273"/>
    <mergeCell ref="I1274:I1276"/>
    <mergeCell ref="I1277:I1279"/>
    <mergeCell ref="I1117:I1119"/>
    <mergeCell ref="I1122:I1124"/>
    <mergeCell ref="I1125:I1127"/>
    <mergeCell ref="I1128:I1130"/>
    <mergeCell ref="I1131:I1133"/>
    <mergeCell ref="I1134:I1136"/>
    <mergeCell ref="I1137:I1139"/>
    <mergeCell ref="I1140:I1142"/>
    <mergeCell ref="I1143:I1145"/>
    <mergeCell ref="I1146:I1148"/>
    <mergeCell ref="I1149:I1151"/>
    <mergeCell ref="I1154:I1156"/>
    <mergeCell ref="I1157:I1159"/>
    <mergeCell ref="I1160:I1162"/>
    <mergeCell ref="I1163:I1165"/>
    <mergeCell ref="I1166:I1168"/>
    <mergeCell ref="I1169:I1171"/>
    <mergeCell ref="I1172:I1174"/>
    <mergeCell ref="I1175:I1177"/>
    <mergeCell ref="I1178:I1180"/>
    <mergeCell ref="I1181:I1183"/>
    <mergeCell ref="I1186:I1188"/>
    <mergeCell ref="I1189:I1191"/>
    <mergeCell ref="I1192:I1194"/>
    <mergeCell ref="I1195:I1197"/>
    <mergeCell ref="I1198:I1200"/>
    <mergeCell ref="I1201:I1203"/>
    <mergeCell ref="I1204:I1206"/>
    <mergeCell ref="I1207:I1209"/>
    <mergeCell ref="I1210:I1212"/>
    <mergeCell ref="I1213:I1215"/>
    <mergeCell ref="I1218:I1220"/>
    <mergeCell ref="I1221:I1223"/>
    <mergeCell ref="I1012:I1014"/>
    <mergeCell ref="I1015:I1017"/>
    <mergeCell ref="I1018:I1020"/>
    <mergeCell ref="I1021:I1023"/>
    <mergeCell ref="I1026:I1028"/>
    <mergeCell ref="I1029:I1031"/>
    <mergeCell ref="I1032:I1034"/>
    <mergeCell ref="I1035:I1037"/>
    <mergeCell ref="I1038:I1040"/>
    <mergeCell ref="I1041:I1043"/>
    <mergeCell ref="I1044:I1046"/>
    <mergeCell ref="I1047:I1049"/>
    <mergeCell ref="I1050:I1052"/>
    <mergeCell ref="I1053:I1055"/>
    <mergeCell ref="I1058:I1060"/>
    <mergeCell ref="I1061:I1063"/>
    <mergeCell ref="I1064:I1066"/>
    <mergeCell ref="I1067:I1069"/>
    <mergeCell ref="I1070:I1072"/>
    <mergeCell ref="I1073:I1075"/>
    <mergeCell ref="I1076:I1078"/>
    <mergeCell ref="I1079:I1081"/>
    <mergeCell ref="I1082:I1084"/>
    <mergeCell ref="I1085:I1087"/>
    <mergeCell ref="I1090:I1092"/>
    <mergeCell ref="I1093:I1095"/>
    <mergeCell ref="I1096:I1098"/>
    <mergeCell ref="I1099:I1101"/>
    <mergeCell ref="I1102:I1104"/>
    <mergeCell ref="I1105:I1107"/>
    <mergeCell ref="I1108:I1110"/>
    <mergeCell ref="I1111:I1113"/>
    <mergeCell ref="I1114:I1116"/>
    <mergeCell ref="I901:I903"/>
    <mergeCell ref="I904:I906"/>
    <mergeCell ref="I907:I909"/>
    <mergeCell ref="I910:I912"/>
    <mergeCell ref="I913:I915"/>
    <mergeCell ref="I916:I918"/>
    <mergeCell ref="I919:I921"/>
    <mergeCell ref="I922:I924"/>
    <mergeCell ref="I925:I927"/>
    <mergeCell ref="I930:I932"/>
    <mergeCell ref="I933:I935"/>
    <mergeCell ref="I936:I938"/>
    <mergeCell ref="I939:I941"/>
    <mergeCell ref="I942:I944"/>
    <mergeCell ref="I945:I947"/>
    <mergeCell ref="I948:I950"/>
    <mergeCell ref="I951:I953"/>
    <mergeCell ref="I954:I956"/>
    <mergeCell ref="I957:I959"/>
    <mergeCell ref="I962:I964"/>
    <mergeCell ref="I965:I967"/>
    <mergeCell ref="I968:I970"/>
    <mergeCell ref="I971:I973"/>
    <mergeCell ref="I974:I976"/>
    <mergeCell ref="I977:I979"/>
    <mergeCell ref="I980:I982"/>
    <mergeCell ref="I983:I985"/>
    <mergeCell ref="I986:I988"/>
    <mergeCell ref="I989:I991"/>
    <mergeCell ref="I994:I996"/>
    <mergeCell ref="I997:I999"/>
    <mergeCell ref="I1000:I1002"/>
    <mergeCell ref="I1003:I1005"/>
    <mergeCell ref="I794:I796"/>
    <mergeCell ref="I797:I799"/>
    <mergeCell ref="I802:I804"/>
    <mergeCell ref="I805:I807"/>
    <mergeCell ref="I808:I810"/>
    <mergeCell ref="I811:I813"/>
    <mergeCell ref="I814:I816"/>
    <mergeCell ref="I817:I819"/>
    <mergeCell ref="I820:I822"/>
    <mergeCell ref="I823:I825"/>
    <mergeCell ref="I826:I828"/>
    <mergeCell ref="I829:I831"/>
    <mergeCell ref="I834:I836"/>
    <mergeCell ref="I837:I839"/>
    <mergeCell ref="I840:I842"/>
    <mergeCell ref="I843:I845"/>
    <mergeCell ref="I846:I848"/>
    <mergeCell ref="I849:I851"/>
    <mergeCell ref="I852:I854"/>
    <mergeCell ref="I855:I857"/>
    <mergeCell ref="I858:I860"/>
    <mergeCell ref="I861:I863"/>
    <mergeCell ref="I866:I868"/>
    <mergeCell ref="I869:I871"/>
    <mergeCell ref="I872:I874"/>
    <mergeCell ref="I875:I877"/>
    <mergeCell ref="I878:I880"/>
    <mergeCell ref="I881:I883"/>
    <mergeCell ref="I884:I886"/>
    <mergeCell ref="I887:I889"/>
    <mergeCell ref="I890:I892"/>
    <mergeCell ref="I893:I895"/>
    <mergeCell ref="I898:I900"/>
    <mergeCell ref="I683:I685"/>
    <mergeCell ref="I686:I688"/>
    <mergeCell ref="I689:I691"/>
    <mergeCell ref="I692:I694"/>
    <mergeCell ref="I695:I697"/>
    <mergeCell ref="I698:I700"/>
    <mergeCell ref="I701:I703"/>
    <mergeCell ref="I706:I708"/>
    <mergeCell ref="I709:I711"/>
    <mergeCell ref="I712:I714"/>
    <mergeCell ref="I715:I717"/>
    <mergeCell ref="I718:I720"/>
    <mergeCell ref="I721:I723"/>
    <mergeCell ref="I724:I726"/>
    <mergeCell ref="I727:I729"/>
    <mergeCell ref="I730:I732"/>
    <mergeCell ref="I733:I735"/>
    <mergeCell ref="I738:I740"/>
    <mergeCell ref="I741:I743"/>
    <mergeCell ref="I744:I746"/>
    <mergeCell ref="I747:I749"/>
    <mergeCell ref="I750:I752"/>
    <mergeCell ref="I753:I755"/>
    <mergeCell ref="I756:I758"/>
    <mergeCell ref="I759:I761"/>
    <mergeCell ref="I762:I764"/>
    <mergeCell ref="I765:I767"/>
    <mergeCell ref="I770:I772"/>
    <mergeCell ref="I773:I775"/>
    <mergeCell ref="I776:I778"/>
    <mergeCell ref="I779:I781"/>
    <mergeCell ref="I782:I784"/>
    <mergeCell ref="I785:I787"/>
    <mergeCell ref="I578:I580"/>
    <mergeCell ref="I581:I583"/>
    <mergeCell ref="I584:I586"/>
    <mergeCell ref="I587:I589"/>
    <mergeCell ref="I590:I592"/>
    <mergeCell ref="I593:I595"/>
    <mergeCell ref="I596:I598"/>
    <mergeCell ref="I599:I601"/>
    <mergeCell ref="I602:I604"/>
    <mergeCell ref="I605:I607"/>
    <mergeCell ref="I610:I612"/>
    <mergeCell ref="I613:I615"/>
    <mergeCell ref="I616:I618"/>
    <mergeCell ref="I619:I621"/>
    <mergeCell ref="I622:I624"/>
    <mergeCell ref="I625:I627"/>
    <mergeCell ref="I628:I630"/>
    <mergeCell ref="I631:I633"/>
    <mergeCell ref="I634:I636"/>
    <mergeCell ref="I637:I639"/>
    <mergeCell ref="I642:I644"/>
    <mergeCell ref="I645:I647"/>
    <mergeCell ref="I648:I650"/>
    <mergeCell ref="I651:I653"/>
    <mergeCell ref="I654:I656"/>
    <mergeCell ref="I657:I659"/>
    <mergeCell ref="I660:I662"/>
    <mergeCell ref="I663:I665"/>
    <mergeCell ref="I666:I668"/>
    <mergeCell ref="I669:I671"/>
    <mergeCell ref="I674:I676"/>
    <mergeCell ref="I677:I679"/>
    <mergeCell ref="I680:I682"/>
    <mergeCell ref="I465:I467"/>
    <mergeCell ref="I468:I470"/>
    <mergeCell ref="I471:I473"/>
    <mergeCell ref="I474:I476"/>
    <mergeCell ref="I477:I479"/>
    <mergeCell ref="I482:I484"/>
    <mergeCell ref="I485:I487"/>
    <mergeCell ref="I488:I490"/>
    <mergeCell ref="I491:I493"/>
    <mergeCell ref="I494:I496"/>
    <mergeCell ref="I497:I499"/>
    <mergeCell ref="I500:I502"/>
    <mergeCell ref="I503:I505"/>
    <mergeCell ref="I506:I508"/>
    <mergeCell ref="I509:I511"/>
    <mergeCell ref="I514:I516"/>
    <mergeCell ref="I517:I519"/>
    <mergeCell ref="I520:I522"/>
    <mergeCell ref="I523:I525"/>
    <mergeCell ref="I526:I528"/>
    <mergeCell ref="I529:I531"/>
    <mergeCell ref="I532:I534"/>
    <mergeCell ref="I535:I537"/>
    <mergeCell ref="I538:I540"/>
    <mergeCell ref="I541:I543"/>
    <mergeCell ref="I546:I548"/>
    <mergeCell ref="I549:I551"/>
    <mergeCell ref="I552:I554"/>
    <mergeCell ref="I555:I557"/>
    <mergeCell ref="I558:I560"/>
    <mergeCell ref="I561:I563"/>
    <mergeCell ref="I564:I566"/>
    <mergeCell ref="I567:I569"/>
    <mergeCell ref="I360:I362"/>
    <mergeCell ref="I363:I365"/>
    <mergeCell ref="I366:I368"/>
    <mergeCell ref="I369:I371"/>
    <mergeCell ref="I372:I374"/>
    <mergeCell ref="I375:I377"/>
    <mergeCell ref="I378:I380"/>
    <mergeCell ref="I381:I383"/>
    <mergeCell ref="I386:I388"/>
    <mergeCell ref="I389:I391"/>
    <mergeCell ref="I392:I394"/>
    <mergeCell ref="I395:I397"/>
    <mergeCell ref="I398:I400"/>
    <mergeCell ref="I401:I403"/>
    <mergeCell ref="I404:I406"/>
    <mergeCell ref="I407:I409"/>
    <mergeCell ref="I410:I412"/>
    <mergeCell ref="I413:I415"/>
    <mergeCell ref="I418:I420"/>
    <mergeCell ref="I421:I423"/>
    <mergeCell ref="I424:I426"/>
    <mergeCell ref="I427:I429"/>
    <mergeCell ref="I430:I432"/>
    <mergeCell ref="I433:I435"/>
    <mergeCell ref="I436:I438"/>
    <mergeCell ref="I439:I441"/>
    <mergeCell ref="I442:I444"/>
    <mergeCell ref="I445:I447"/>
    <mergeCell ref="I450:I452"/>
    <mergeCell ref="I453:I455"/>
    <mergeCell ref="I456:I458"/>
    <mergeCell ref="I459:I461"/>
    <mergeCell ref="I462:I464"/>
    <mergeCell ref="I247:I249"/>
    <mergeCell ref="I250:I252"/>
    <mergeCell ref="I253:I255"/>
    <mergeCell ref="I258:I260"/>
    <mergeCell ref="I261:I263"/>
    <mergeCell ref="I264:I266"/>
    <mergeCell ref="I267:I269"/>
    <mergeCell ref="I270:I272"/>
    <mergeCell ref="I273:I275"/>
    <mergeCell ref="I276:I278"/>
    <mergeCell ref="I279:I281"/>
    <mergeCell ref="I282:I284"/>
    <mergeCell ref="I285:I287"/>
    <mergeCell ref="I290:I292"/>
    <mergeCell ref="I293:I295"/>
    <mergeCell ref="I296:I298"/>
    <mergeCell ref="I299:I301"/>
    <mergeCell ref="I302:I304"/>
    <mergeCell ref="I305:I307"/>
    <mergeCell ref="I308:I310"/>
    <mergeCell ref="I311:I313"/>
    <mergeCell ref="I314:I316"/>
    <mergeCell ref="I317:I319"/>
    <mergeCell ref="I322:I324"/>
    <mergeCell ref="I325:I327"/>
    <mergeCell ref="I328:I330"/>
    <mergeCell ref="I331:I333"/>
    <mergeCell ref="I334:I336"/>
    <mergeCell ref="I337:I339"/>
    <mergeCell ref="I340:I342"/>
    <mergeCell ref="I343:I345"/>
    <mergeCell ref="I346:I348"/>
    <mergeCell ref="I349:I351"/>
    <mergeCell ref="I142:I144"/>
    <mergeCell ref="I145:I147"/>
    <mergeCell ref="I148:I150"/>
    <mergeCell ref="I151:I153"/>
    <mergeCell ref="I154:I156"/>
    <mergeCell ref="I157:I159"/>
    <mergeCell ref="I162:I164"/>
    <mergeCell ref="I165:I167"/>
    <mergeCell ref="I168:I170"/>
    <mergeCell ref="I171:I173"/>
    <mergeCell ref="I174:I176"/>
    <mergeCell ref="I177:I179"/>
    <mergeCell ref="I180:I182"/>
    <mergeCell ref="I183:I185"/>
    <mergeCell ref="I186:I188"/>
    <mergeCell ref="I189:I191"/>
    <mergeCell ref="I194:I196"/>
    <mergeCell ref="I197:I199"/>
    <mergeCell ref="I200:I202"/>
    <mergeCell ref="I203:I205"/>
    <mergeCell ref="I206:I208"/>
    <mergeCell ref="I209:I211"/>
    <mergeCell ref="I212:I214"/>
    <mergeCell ref="I215:I217"/>
    <mergeCell ref="I218:I220"/>
    <mergeCell ref="I221:I223"/>
    <mergeCell ref="I226:I228"/>
    <mergeCell ref="I229:I231"/>
    <mergeCell ref="I232:I234"/>
    <mergeCell ref="I235:I237"/>
    <mergeCell ref="I238:I240"/>
    <mergeCell ref="I241:I243"/>
    <mergeCell ref="I244:I246"/>
    <mergeCell ref="M1278:M1279"/>
    <mergeCell ref="T1278:T1279"/>
    <mergeCell ref="AD1278:AD1279"/>
    <mergeCell ref="C1279:E1279"/>
    <mergeCell ref="F1279:G1279"/>
    <mergeCell ref="Z1274:Z1276"/>
    <mergeCell ref="AA1274:AA1276"/>
    <mergeCell ref="AB1274:AB1276"/>
    <mergeCell ref="AC1274:AC1276"/>
    <mergeCell ref="AD1274:AD1275"/>
    <mergeCell ref="AE1274:AE1279"/>
    <mergeCell ref="C1275:E1275"/>
    <mergeCell ref="F1275:G1275"/>
    <mergeCell ref="B1276:B1277"/>
    <mergeCell ref="C1276:E1276"/>
    <mergeCell ref="F1276:G1276"/>
    <mergeCell ref="K1276:K1277"/>
    <mergeCell ref="M1276:M1277"/>
    <mergeCell ref="T1276:T1277"/>
    <mergeCell ref="AD1276:AD1277"/>
    <mergeCell ref="C1277:E1277"/>
    <mergeCell ref="F1277:G1277"/>
    <mergeCell ref="J1277:J1279"/>
    <mergeCell ref="N1277:O1279"/>
    <mergeCell ref="P1277:Q1279"/>
    <mergeCell ref="R1277:S1279"/>
    <mergeCell ref="Z1277:Z1279"/>
    <mergeCell ref="AA1277:AA1279"/>
    <mergeCell ref="AB1277:AB1279"/>
    <mergeCell ref="N1274:O1276"/>
    <mergeCell ref="P1274:Q1276"/>
    <mergeCell ref="R1274:S1276"/>
    <mergeCell ref="T1274:T1275"/>
    <mergeCell ref="U1274:U1279"/>
    <mergeCell ref="V1274:V1279"/>
    <mergeCell ref="W1274:W1279"/>
    <mergeCell ref="X1274:X1279"/>
    <mergeCell ref="Y1274:Y1279"/>
    <mergeCell ref="A1274:A1279"/>
    <mergeCell ref="B1274:B1275"/>
    <mergeCell ref="C1274:E1274"/>
    <mergeCell ref="F1274:G1274"/>
    <mergeCell ref="H1274:H1279"/>
    <mergeCell ref="J1274:J1276"/>
    <mergeCell ref="K1274:K1275"/>
    <mergeCell ref="M1274:M1275"/>
    <mergeCell ref="AC1271:AC1273"/>
    <mergeCell ref="B1272:B1273"/>
    <mergeCell ref="C1272:E1272"/>
    <mergeCell ref="F1272:G1272"/>
    <mergeCell ref="K1272:K1273"/>
    <mergeCell ref="M1272:M1273"/>
    <mergeCell ref="T1272:T1273"/>
    <mergeCell ref="AD1272:AD1273"/>
    <mergeCell ref="C1273:E1273"/>
    <mergeCell ref="F1273:G1273"/>
    <mergeCell ref="Z1268:Z1270"/>
    <mergeCell ref="AA1268:AA1270"/>
    <mergeCell ref="AB1268:AB1270"/>
    <mergeCell ref="AC1268:AC1270"/>
    <mergeCell ref="AD1268:AD1269"/>
    <mergeCell ref="AE1268:AE1273"/>
    <mergeCell ref="C1269:E1269"/>
    <mergeCell ref="F1269:G1269"/>
    <mergeCell ref="B1270:B1271"/>
    <mergeCell ref="C1270:E1270"/>
    <mergeCell ref="F1270:G1270"/>
    <mergeCell ref="K1270:K1271"/>
    <mergeCell ref="M1270:M1271"/>
    <mergeCell ref="T1270:T1271"/>
    <mergeCell ref="AD1270:AD1271"/>
    <mergeCell ref="C1271:E1271"/>
    <mergeCell ref="F1271:G1271"/>
    <mergeCell ref="J1271:J1273"/>
    <mergeCell ref="N1271:O1273"/>
    <mergeCell ref="P1271:Q1273"/>
    <mergeCell ref="R1271:S1273"/>
    <mergeCell ref="Z1271:Z1273"/>
    <mergeCell ref="AA1271:AA1273"/>
    <mergeCell ref="AB1271:AB1273"/>
    <mergeCell ref="N1268:O1270"/>
    <mergeCell ref="P1268:Q1270"/>
    <mergeCell ref="R1268:S1270"/>
    <mergeCell ref="T1268:T1269"/>
    <mergeCell ref="U1268:U1273"/>
    <mergeCell ref="V1268:V1273"/>
    <mergeCell ref="W1268:W1273"/>
    <mergeCell ref="X1268:X1273"/>
    <mergeCell ref="Y1268:Y1273"/>
    <mergeCell ref="A1268:A1273"/>
    <mergeCell ref="B1268:B1269"/>
    <mergeCell ref="C1268:E1268"/>
    <mergeCell ref="F1268:G1268"/>
    <mergeCell ref="H1268:H1273"/>
    <mergeCell ref="J1268:J1270"/>
    <mergeCell ref="K1268:K1269"/>
    <mergeCell ref="M1268:M1269"/>
    <mergeCell ref="AC1277:AC1279"/>
    <mergeCell ref="B1278:B1279"/>
    <mergeCell ref="C1278:E1278"/>
    <mergeCell ref="F1278:G1278"/>
    <mergeCell ref="K1278:K1279"/>
    <mergeCell ref="M1266:M1267"/>
    <mergeCell ref="T1266:T1267"/>
    <mergeCell ref="AD1266:AD1267"/>
    <mergeCell ref="C1267:E1267"/>
    <mergeCell ref="F1267:G1267"/>
    <mergeCell ref="Z1262:Z1264"/>
    <mergeCell ref="AA1262:AA1264"/>
    <mergeCell ref="AB1262:AB1264"/>
    <mergeCell ref="AC1262:AC1264"/>
    <mergeCell ref="AD1262:AD1263"/>
    <mergeCell ref="AE1262:AE1267"/>
    <mergeCell ref="C1263:E1263"/>
    <mergeCell ref="F1263:G1263"/>
    <mergeCell ref="B1264:B1265"/>
    <mergeCell ref="C1264:E1264"/>
    <mergeCell ref="F1264:G1264"/>
    <mergeCell ref="K1264:K1265"/>
    <mergeCell ref="M1264:M1265"/>
    <mergeCell ref="T1264:T1265"/>
    <mergeCell ref="AD1264:AD1265"/>
    <mergeCell ref="C1265:E1265"/>
    <mergeCell ref="F1265:G1265"/>
    <mergeCell ref="J1265:J1267"/>
    <mergeCell ref="N1265:O1267"/>
    <mergeCell ref="P1265:Q1267"/>
    <mergeCell ref="R1265:S1267"/>
    <mergeCell ref="Z1265:Z1267"/>
    <mergeCell ref="AA1265:AA1267"/>
    <mergeCell ref="AB1265:AB1267"/>
    <mergeCell ref="N1262:O1264"/>
    <mergeCell ref="P1262:Q1264"/>
    <mergeCell ref="R1262:S1264"/>
    <mergeCell ref="T1262:T1263"/>
    <mergeCell ref="U1262:U1267"/>
    <mergeCell ref="V1262:V1267"/>
    <mergeCell ref="W1262:W1267"/>
    <mergeCell ref="X1262:X1267"/>
    <mergeCell ref="Y1262:Y1267"/>
    <mergeCell ref="A1262:A1267"/>
    <mergeCell ref="B1262:B1263"/>
    <mergeCell ref="C1262:E1262"/>
    <mergeCell ref="F1262:G1262"/>
    <mergeCell ref="H1262:H1267"/>
    <mergeCell ref="J1262:J1264"/>
    <mergeCell ref="K1262:K1263"/>
    <mergeCell ref="M1262:M1263"/>
    <mergeCell ref="AC1259:AC1261"/>
    <mergeCell ref="B1260:B1261"/>
    <mergeCell ref="C1260:E1260"/>
    <mergeCell ref="F1260:G1260"/>
    <mergeCell ref="K1260:K1261"/>
    <mergeCell ref="M1260:M1261"/>
    <mergeCell ref="T1260:T1261"/>
    <mergeCell ref="AD1260:AD1261"/>
    <mergeCell ref="C1261:E1261"/>
    <mergeCell ref="F1261:G1261"/>
    <mergeCell ref="Z1256:Z1258"/>
    <mergeCell ref="AA1256:AA1258"/>
    <mergeCell ref="AB1256:AB1258"/>
    <mergeCell ref="AC1256:AC1258"/>
    <mergeCell ref="AD1256:AD1257"/>
    <mergeCell ref="AE1256:AE1261"/>
    <mergeCell ref="C1257:E1257"/>
    <mergeCell ref="F1257:G1257"/>
    <mergeCell ref="B1258:B1259"/>
    <mergeCell ref="C1258:E1258"/>
    <mergeCell ref="F1258:G1258"/>
    <mergeCell ref="K1258:K1259"/>
    <mergeCell ref="M1258:M1259"/>
    <mergeCell ref="T1258:T1259"/>
    <mergeCell ref="AD1258:AD1259"/>
    <mergeCell ref="C1259:E1259"/>
    <mergeCell ref="F1259:G1259"/>
    <mergeCell ref="J1259:J1261"/>
    <mergeCell ref="N1259:O1261"/>
    <mergeCell ref="P1259:Q1261"/>
    <mergeCell ref="R1259:S1261"/>
    <mergeCell ref="Z1259:Z1261"/>
    <mergeCell ref="AA1259:AA1261"/>
    <mergeCell ref="AB1259:AB1261"/>
    <mergeCell ref="N1256:O1258"/>
    <mergeCell ref="P1256:Q1258"/>
    <mergeCell ref="R1256:S1258"/>
    <mergeCell ref="T1256:T1257"/>
    <mergeCell ref="U1256:U1261"/>
    <mergeCell ref="V1256:V1261"/>
    <mergeCell ref="W1256:W1261"/>
    <mergeCell ref="X1256:X1261"/>
    <mergeCell ref="Y1256:Y1261"/>
    <mergeCell ref="A1256:A1261"/>
    <mergeCell ref="B1256:B1257"/>
    <mergeCell ref="C1256:E1256"/>
    <mergeCell ref="F1256:G1256"/>
    <mergeCell ref="H1256:H1261"/>
    <mergeCell ref="J1256:J1258"/>
    <mergeCell ref="K1256:K1257"/>
    <mergeCell ref="M1256:M1257"/>
    <mergeCell ref="AC1265:AC1267"/>
    <mergeCell ref="B1266:B1267"/>
    <mergeCell ref="C1266:E1266"/>
    <mergeCell ref="F1266:G1266"/>
    <mergeCell ref="K1266:K1267"/>
    <mergeCell ref="M1254:M1255"/>
    <mergeCell ref="T1254:T1255"/>
    <mergeCell ref="AD1254:AD1255"/>
    <mergeCell ref="C1255:E1255"/>
    <mergeCell ref="F1255:G1255"/>
    <mergeCell ref="Z1250:Z1252"/>
    <mergeCell ref="AA1250:AA1252"/>
    <mergeCell ref="AB1250:AB1252"/>
    <mergeCell ref="AC1250:AC1252"/>
    <mergeCell ref="AD1250:AD1251"/>
    <mergeCell ref="AE1250:AE1255"/>
    <mergeCell ref="C1251:E1251"/>
    <mergeCell ref="F1251:G1251"/>
    <mergeCell ref="B1252:B1253"/>
    <mergeCell ref="C1252:E1252"/>
    <mergeCell ref="F1252:G1252"/>
    <mergeCell ref="K1252:K1253"/>
    <mergeCell ref="M1252:M1253"/>
    <mergeCell ref="T1252:T1253"/>
    <mergeCell ref="AD1252:AD1253"/>
    <mergeCell ref="C1253:E1253"/>
    <mergeCell ref="F1253:G1253"/>
    <mergeCell ref="J1253:J1255"/>
    <mergeCell ref="N1253:O1255"/>
    <mergeCell ref="P1253:Q1255"/>
    <mergeCell ref="R1253:S1255"/>
    <mergeCell ref="Z1253:Z1255"/>
    <mergeCell ref="AA1253:AA1255"/>
    <mergeCell ref="AB1253:AB1255"/>
    <mergeCell ref="N1250:O1252"/>
    <mergeCell ref="P1250:Q1252"/>
    <mergeCell ref="R1250:S1252"/>
    <mergeCell ref="T1250:T1251"/>
    <mergeCell ref="U1250:U1255"/>
    <mergeCell ref="V1250:V1255"/>
    <mergeCell ref="W1250:W1255"/>
    <mergeCell ref="X1250:X1255"/>
    <mergeCell ref="Y1250:Y1255"/>
    <mergeCell ref="A1250:A1255"/>
    <mergeCell ref="B1250:B1251"/>
    <mergeCell ref="C1250:E1250"/>
    <mergeCell ref="F1250:G1250"/>
    <mergeCell ref="H1250:H1255"/>
    <mergeCell ref="J1250:J1252"/>
    <mergeCell ref="K1250:K1251"/>
    <mergeCell ref="M1250:M1251"/>
    <mergeCell ref="AC1245:AC1247"/>
    <mergeCell ref="B1246:B1247"/>
    <mergeCell ref="C1246:E1246"/>
    <mergeCell ref="F1246:G1246"/>
    <mergeCell ref="K1246:K1247"/>
    <mergeCell ref="M1246:M1247"/>
    <mergeCell ref="T1246:T1247"/>
    <mergeCell ref="AD1246:AD1247"/>
    <mergeCell ref="C1247:E1247"/>
    <mergeCell ref="F1247:G1247"/>
    <mergeCell ref="Z1242:Z1244"/>
    <mergeCell ref="AA1242:AA1244"/>
    <mergeCell ref="AB1242:AB1244"/>
    <mergeCell ref="AC1242:AC1244"/>
    <mergeCell ref="AD1242:AD1243"/>
    <mergeCell ref="AE1242:AE1247"/>
    <mergeCell ref="C1243:E1243"/>
    <mergeCell ref="F1243:G1243"/>
    <mergeCell ref="B1244:B1245"/>
    <mergeCell ref="C1244:E1244"/>
    <mergeCell ref="F1244:G1244"/>
    <mergeCell ref="K1244:K1245"/>
    <mergeCell ref="M1244:M1245"/>
    <mergeCell ref="T1244:T1245"/>
    <mergeCell ref="AD1244:AD1245"/>
    <mergeCell ref="C1245:E1245"/>
    <mergeCell ref="F1245:G1245"/>
    <mergeCell ref="J1245:J1247"/>
    <mergeCell ref="N1245:O1247"/>
    <mergeCell ref="P1245:Q1247"/>
    <mergeCell ref="R1245:S1247"/>
    <mergeCell ref="Z1245:Z1247"/>
    <mergeCell ref="AA1245:AA1247"/>
    <mergeCell ref="AB1245:AB1247"/>
    <mergeCell ref="N1242:O1244"/>
    <mergeCell ref="P1242:Q1244"/>
    <mergeCell ref="R1242:S1244"/>
    <mergeCell ref="T1242:T1243"/>
    <mergeCell ref="U1242:U1247"/>
    <mergeCell ref="V1242:V1247"/>
    <mergeCell ref="W1242:W1247"/>
    <mergeCell ref="X1242:X1247"/>
    <mergeCell ref="Y1242:Y1247"/>
    <mergeCell ref="A1242:A1247"/>
    <mergeCell ref="B1242:B1243"/>
    <mergeCell ref="C1242:E1242"/>
    <mergeCell ref="F1242:G1242"/>
    <mergeCell ref="H1242:H1247"/>
    <mergeCell ref="J1242:J1244"/>
    <mergeCell ref="K1242:K1243"/>
    <mergeCell ref="M1242:M1243"/>
    <mergeCell ref="AC1253:AC1255"/>
    <mergeCell ref="B1254:B1255"/>
    <mergeCell ref="C1254:E1254"/>
    <mergeCell ref="F1254:G1254"/>
    <mergeCell ref="K1254:K1255"/>
    <mergeCell ref="M1240:M1241"/>
    <mergeCell ref="T1240:T1241"/>
    <mergeCell ref="AD1240:AD1241"/>
    <mergeCell ref="C1241:E1241"/>
    <mergeCell ref="F1241:G1241"/>
    <mergeCell ref="Z1236:Z1238"/>
    <mergeCell ref="AA1236:AA1238"/>
    <mergeCell ref="AB1236:AB1238"/>
    <mergeCell ref="AC1236:AC1238"/>
    <mergeCell ref="AD1236:AD1237"/>
    <mergeCell ref="AE1236:AE1241"/>
    <mergeCell ref="C1237:E1237"/>
    <mergeCell ref="F1237:G1237"/>
    <mergeCell ref="B1238:B1239"/>
    <mergeCell ref="C1238:E1238"/>
    <mergeCell ref="F1238:G1238"/>
    <mergeCell ref="K1238:K1239"/>
    <mergeCell ref="M1238:M1239"/>
    <mergeCell ref="T1238:T1239"/>
    <mergeCell ref="AD1238:AD1239"/>
    <mergeCell ref="C1239:E1239"/>
    <mergeCell ref="F1239:G1239"/>
    <mergeCell ref="J1239:J1241"/>
    <mergeCell ref="N1239:O1241"/>
    <mergeCell ref="P1239:Q1241"/>
    <mergeCell ref="R1239:S1241"/>
    <mergeCell ref="Z1239:Z1241"/>
    <mergeCell ref="AA1239:AA1241"/>
    <mergeCell ref="AB1239:AB1241"/>
    <mergeCell ref="N1236:O1238"/>
    <mergeCell ref="P1236:Q1238"/>
    <mergeCell ref="R1236:S1238"/>
    <mergeCell ref="T1236:T1237"/>
    <mergeCell ref="U1236:U1241"/>
    <mergeCell ref="V1236:V1241"/>
    <mergeCell ref="W1236:W1241"/>
    <mergeCell ref="X1236:X1241"/>
    <mergeCell ref="Y1236:Y1241"/>
    <mergeCell ref="A1236:A1241"/>
    <mergeCell ref="B1236:B1237"/>
    <mergeCell ref="C1236:E1236"/>
    <mergeCell ref="F1236:G1236"/>
    <mergeCell ref="H1236:H1241"/>
    <mergeCell ref="J1236:J1238"/>
    <mergeCell ref="K1236:K1237"/>
    <mergeCell ref="M1236:M1237"/>
    <mergeCell ref="AC1233:AC1235"/>
    <mergeCell ref="B1234:B1235"/>
    <mergeCell ref="C1234:E1234"/>
    <mergeCell ref="F1234:G1234"/>
    <mergeCell ref="K1234:K1235"/>
    <mergeCell ref="M1234:M1235"/>
    <mergeCell ref="T1234:T1235"/>
    <mergeCell ref="AD1234:AD1235"/>
    <mergeCell ref="C1235:E1235"/>
    <mergeCell ref="F1235:G1235"/>
    <mergeCell ref="Z1230:Z1232"/>
    <mergeCell ref="AA1230:AA1232"/>
    <mergeCell ref="AB1230:AB1232"/>
    <mergeCell ref="AC1230:AC1232"/>
    <mergeCell ref="AD1230:AD1231"/>
    <mergeCell ref="AE1230:AE1235"/>
    <mergeCell ref="C1231:E1231"/>
    <mergeCell ref="F1231:G1231"/>
    <mergeCell ref="B1232:B1233"/>
    <mergeCell ref="C1232:E1232"/>
    <mergeCell ref="F1232:G1232"/>
    <mergeCell ref="K1232:K1233"/>
    <mergeCell ref="M1232:M1233"/>
    <mergeCell ref="T1232:T1233"/>
    <mergeCell ref="AD1232:AD1233"/>
    <mergeCell ref="C1233:E1233"/>
    <mergeCell ref="F1233:G1233"/>
    <mergeCell ref="J1233:J1235"/>
    <mergeCell ref="N1233:O1235"/>
    <mergeCell ref="P1233:Q1235"/>
    <mergeCell ref="R1233:S1235"/>
    <mergeCell ref="Z1233:Z1235"/>
    <mergeCell ref="AA1233:AA1235"/>
    <mergeCell ref="AB1233:AB1235"/>
    <mergeCell ref="N1230:O1232"/>
    <mergeCell ref="P1230:Q1232"/>
    <mergeCell ref="R1230:S1232"/>
    <mergeCell ref="T1230:T1231"/>
    <mergeCell ref="U1230:U1235"/>
    <mergeCell ref="V1230:V1235"/>
    <mergeCell ref="W1230:W1235"/>
    <mergeCell ref="X1230:X1235"/>
    <mergeCell ref="Y1230:Y1235"/>
    <mergeCell ref="A1230:A1235"/>
    <mergeCell ref="B1230:B1231"/>
    <mergeCell ref="C1230:E1230"/>
    <mergeCell ref="F1230:G1230"/>
    <mergeCell ref="H1230:H1235"/>
    <mergeCell ref="J1230:J1232"/>
    <mergeCell ref="K1230:K1231"/>
    <mergeCell ref="M1230:M1231"/>
    <mergeCell ref="AC1239:AC1241"/>
    <mergeCell ref="B1240:B1241"/>
    <mergeCell ref="C1240:E1240"/>
    <mergeCell ref="F1240:G1240"/>
    <mergeCell ref="K1240:K1241"/>
    <mergeCell ref="M1228:M1229"/>
    <mergeCell ref="T1228:T1229"/>
    <mergeCell ref="AD1228:AD1229"/>
    <mergeCell ref="C1229:E1229"/>
    <mergeCell ref="F1229:G1229"/>
    <mergeCell ref="Z1224:Z1226"/>
    <mergeCell ref="AA1224:AA1226"/>
    <mergeCell ref="AB1224:AB1226"/>
    <mergeCell ref="AC1224:AC1226"/>
    <mergeCell ref="AD1224:AD1225"/>
    <mergeCell ref="AE1224:AE1229"/>
    <mergeCell ref="C1225:E1225"/>
    <mergeCell ref="F1225:G1225"/>
    <mergeCell ref="B1226:B1227"/>
    <mergeCell ref="C1226:E1226"/>
    <mergeCell ref="F1226:G1226"/>
    <mergeCell ref="K1226:K1227"/>
    <mergeCell ref="M1226:M1227"/>
    <mergeCell ref="T1226:T1227"/>
    <mergeCell ref="AD1226:AD1227"/>
    <mergeCell ref="C1227:E1227"/>
    <mergeCell ref="F1227:G1227"/>
    <mergeCell ref="J1227:J1229"/>
    <mergeCell ref="N1227:O1229"/>
    <mergeCell ref="P1227:Q1229"/>
    <mergeCell ref="R1227:S1229"/>
    <mergeCell ref="Z1227:Z1229"/>
    <mergeCell ref="AA1227:AA1229"/>
    <mergeCell ref="AB1227:AB1229"/>
    <mergeCell ref="N1224:O1226"/>
    <mergeCell ref="P1224:Q1226"/>
    <mergeCell ref="R1224:S1226"/>
    <mergeCell ref="T1224:T1225"/>
    <mergeCell ref="U1224:U1229"/>
    <mergeCell ref="V1224:V1229"/>
    <mergeCell ref="W1224:W1229"/>
    <mergeCell ref="X1224:X1229"/>
    <mergeCell ref="Y1224:Y1229"/>
    <mergeCell ref="I1224:I1226"/>
    <mergeCell ref="I1227:I1229"/>
    <mergeCell ref="A1224:A1229"/>
    <mergeCell ref="B1224:B1225"/>
    <mergeCell ref="C1224:E1224"/>
    <mergeCell ref="F1224:G1224"/>
    <mergeCell ref="H1224:H1229"/>
    <mergeCell ref="J1224:J1226"/>
    <mergeCell ref="K1224:K1225"/>
    <mergeCell ref="M1224:M1225"/>
    <mergeCell ref="AC1221:AC1223"/>
    <mergeCell ref="B1222:B1223"/>
    <mergeCell ref="C1222:E1222"/>
    <mergeCell ref="F1222:G1222"/>
    <mergeCell ref="K1222:K1223"/>
    <mergeCell ref="M1222:M1223"/>
    <mergeCell ref="T1222:T1223"/>
    <mergeCell ref="AD1222:AD1223"/>
    <mergeCell ref="C1223:E1223"/>
    <mergeCell ref="F1223:G1223"/>
    <mergeCell ref="Z1218:Z1220"/>
    <mergeCell ref="AA1218:AA1220"/>
    <mergeCell ref="AB1218:AB1220"/>
    <mergeCell ref="AC1218:AC1220"/>
    <mergeCell ref="AD1218:AD1219"/>
    <mergeCell ref="AE1218:AE1223"/>
    <mergeCell ref="C1219:E1219"/>
    <mergeCell ref="F1219:G1219"/>
    <mergeCell ref="B1220:B1221"/>
    <mergeCell ref="C1220:E1220"/>
    <mergeCell ref="F1220:G1220"/>
    <mergeCell ref="K1220:K1221"/>
    <mergeCell ref="M1220:M1221"/>
    <mergeCell ref="T1220:T1221"/>
    <mergeCell ref="AD1220:AD1221"/>
    <mergeCell ref="C1221:E1221"/>
    <mergeCell ref="F1221:G1221"/>
    <mergeCell ref="J1221:J1223"/>
    <mergeCell ref="N1221:O1223"/>
    <mergeCell ref="P1221:Q1223"/>
    <mergeCell ref="R1221:S1223"/>
    <mergeCell ref="Z1221:Z1223"/>
    <mergeCell ref="AA1221:AA1223"/>
    <mergeCell ref="AB1221:AB1223"/>
    <mergeCell ref="N1218:O1220"/>
    <mergeCell ref="P1218:Q1220"/>
    <mergeCell ref="R1218:S1220"/>
    <mergeCell ref="T1218:T1219"/>
    <mergeCell ref="U1218:U1223"/>
    <mergeCell ref="V1218:V1223"/>
    <mergeCell ref="W1218:W1223"/>
    <mergeCell ref="X1218:X1223"/>
    <mergeCell ref="Y1218:Y1223"/>
    <mergeCell ref="A1218:A1223"/>
    <mergeCell ref="B1218:B1219"/>
    <mergeCell ref="C1218:E1218"/>
    <mergeCell ref="F1218:G1218"/>
    <mergeCell ref="H1218:H1223"/>
    <mergeCell ref="J1218:J1220"/>
    <mergeCell ref="K1218:K1219"/>
    <mergeCell ref="M1218:M1219"/>
    <mergeCell ref="AC1227:AC1229"/>
    <mergeCell ref="B1228:B1229"/>
    <mergeCell ref="C1228:E1228"/>
    <mergeCell ref="F1228:G1228"/>
    <mergeCell ref="K1228:K1229"/>
    <mergeCell ref="M1214:M1215"/>
    <mergeCell ref="T1214:T1215"/>
    <mergeCell ref="AD1214:AD1215"/>
    <mergeCell ref="C1215:E1215"/>
    <mergeCell ref="F1215:G1215"/>
    <mergeCell ref="Z1210:Z1212"/>
    <mergeCell ref="AA1210:AA1212"/>
    <mergeCell ref="AB1210:AB1212"/>
    <mergeCell ref="AC1210:AC1212"/>
    <mergeCell ref="AD1210:AD1211"/>
    <mergeCell ref="AE1210:AE1215"/>
    <mergeCell ref="C1211:E1211"/>
    <mergeCell ref="F1211:G1211"/>
    <mergeCell ref="B1212:B1213"/>
    <mergeCell ref="C1212:E1212"/>
    <mergeCell ref="F1212:G1212"/>
    <mergeCell ref="K1212:K1213"/>
    <mergeCell ref="M1212:M1213"/>
    <mergeCell ref="T1212:T1213"/>
    <mergeCell ref="AD1212:AD1213"/>
    <mergeCell ref="C1213:E1213"/>
    <mergeCell ref="F1213:G1213"/>
    <mergeCell ref="J1213:J1215"/>
    <mergeCell ref="N1213:O1215"/>
    <mergeCell ref="P1213:Q1215"/>
    <mergeCell ref="R1213:S1215"/>
    <mergeCell ref="Z1213:Z1215"/>
    <mergeCell ref="AA1213:AA1215"/>
    <mergeCell ref="AB1213:AB1215"/>
    <mergeCell ref="N1210:O1212"/>
    <mergeCell ref="P1210:Q1212"/>
    <mergeCell ref="R1210:S1212"/>
    <mergeCell ref="T1210:T1211"/>
    <mergeCell ref="U1210:U1215"/>
    <mergeCell ref="V1210:V1215"/>
    <mergeCell ref="W1210:W1215"/>
    <mergeCell ref="X1210:X1215"/>
    <mergeCell ref="Y1210:Y1215"/>
    <mergeCell ref="A1210:A1215"/>
    <mergeCell ref="B1210:B1211"/>
    <mergeCell ref="C1210:E1210"/>
    <mergeCell ref="F1210:G1210"/>
    <mergeCell ref="H1210:H1215"/>
    <mergeCell ref="J1210:J1212"/>
    <mergeCell ref="K1210:K1211"/>
    <mergeCell ref="M1210:M1211"/>
    <mergeCell ref="AC1207:AC1209"/>
    <mergeCell ref="B1208:B1209"/>
    <mergeCell ref="C1208:E1208"/>
    <mergeCell ref="F1208:G1208"/>
    <mergeCell ref="K1208:K1209"/>
    <mergeCell ref="M1208:M1209"/>
    <mergeCell ref="T1208:T1209"/>
    <mergeCell ref="AD1208:AD1209"/>
    <mergeCell ref="C1209:E1209"/>
    <mergeCell ref="F1209:G1209"/>
    <mergeCell ref="Z1204:Z1206"/>
    <mergeCell ref="AA1204:AA1206"/>
    <mergeCell ref="AB1204:AB1206"/>
    <mergeCell ref="AC1204:AC1206"/>
    <mergeCell ref="AD1204:AD1205"/>
    <mergeCell ref="AE1204:AE1209"/>
    <mergeCell ref="C1205:E1205"/>
    <mergeCell ref="F1205:G1205"/>
    <mergeCell ref="B1206:B1207"/>
    <mergeCell ref="C1206:E1206"/>
    <mergeCell ref="F1206:G1206"/>
    <mergeCell ref="K1206:K1207"/>
    <mergeCell ref="M1206:M1207"/>
    <mergeCell ref="T1206:T1207"/>
    <mergeCell ref="AD1206:AD1207"/>
    <mergeCell ref="C1207:E1207"/>
    <mergeCell ref="F1207:G1207"/>
    <mergeCell ref="J1207:J1209"/>
    <mergeCell ref="N1207:O1209"/>
    <mergeCell ref="P1207:Q1209"/>
    <mergeCell ref="R1207:S1209"/>
    <mergeCell ref="Z1207:Z1209"/>
    <mergeCell ref="AA1207:AA1209"/>
    <mergeCell ref="AB1207:AB1209"/>
    <mergeCell ref="N1204:O1206"/>
    <mergeCell ref="P1204:Q1206"/>
    <mergeCell ref="R1204:S1206"/>
    <mergeCell ref="T1204:T1205"/>
    <mergeCell ref="U1204:U1209"/>
    <mergeCell ref="V1204:V1209"/>
    <mergeCell ref="W1204:W1209"/>
    <mergeCell ref="X1204:X1209"/>
    <mergeCell ref="Y1204:Y1209"/>
    <mergeCell ref="A1204:A1209"/>
    <mergeCell ref="B1204:B1205"/>
    <mergeCell ref="C1204:E1204"/>
    <mergeCell ref="F1204:G1204"/>
    <mergeCell ref="H1204:H1209"/>
    <mergeCell ref="J1204:J1206"/>
    <mergeCell ref="K1204:K1205"/>
    <mergeCell ref="M1204:M1205"/>
    <mergeCell ref="AC1213:AC1215"/>
    <mergeCell ref="B1214:B1215"/>
    <mergeCell ref="C1214:E1214"/>
    <mergeCell ref="F1214:G1214"/>
    <mergeCell ref="K1214:K1215"/>
    <mergeCell ref="M1202:M1203"/>
    <mergeCell ref="T1202:T1203"/>
    <mergeCell ref="AD1202:AD1203"/>
    <mergeCell ref="C1203:E1203"/>
    <mergeCell ref="F1203:G1203"/>
    <mergeCell ref="Z1198:Z1200"/>
    <mergeCell ref="AA1198:AA1200"/>
    <mergeCell ref="AB1198:AB1200"/>
    <mergeCell ref="AC1198:AC1200"/>
    <mergeCell ref="AD1198:AD1199"/>
    <mergeCell ref="AE1198:AE1203"/>
    <mergeCell ref="C1199:E1199"/>
    <mergeCell ref="F1199:G1199"/>
    <mergeCell ref="B1200:B1201"/>
    <mergeCell ref="C1200:E1200"/>
    <mergeCell ref="F1200:G1200"/>
    <mergeCell ref="K1200:K1201"/>
    <mergeCell ref="M1200:M1201"/>
    <mergeCell ref="T1200:T1201"/>
    <mergeCell ref="AD1200:AD1201"/>
    <mergeCell ref="C1201:E1201"/>
    <mergeCell ref="F1201:G1201"/>
    <mergeCell ref="J1201:J1203"/>
    <mergeCell ref="N1201:O1203"/>
    <mergeCell ref="P1201:Q1203"/>
    <mergeCell ref="R1201:S1203"/>
    <mergeCell ref="Z1201:Z1203"/>
    <mergeCell ref="AA1201:AA1203"/>
    <mergeCell ref="AB1201:AB1203"/>
    <mergeCell ref="N1198:O1200"/>
    <mergeCell ref="P1198:Q1200"/>
    <mergeCell ref="R1198:S1200"/>
    <mergeCell ref="T1198:T1199"/>
    <mergeCell ref="U1198:U1203"/>
    <mergeCell ref="V1198:V1203"/>
    <mergeCell ref="W1198:W1203"/>
    <mergeCell ref="X1198:X1203"/>
    <mergeCell ref="Y1198:Y1203"/>
    <mergeCell ref="A1198:A1203"/>
    <mergeCell ref="B1198:B1199"/>
    <mergeCell ref="C1198:E1198"/>
    <mergeCell ref="F1198:G1198"/>
    <mergeCell ref="H1198:H1203"/>
    <mergeCell ref="J1198:J1200"/>
    <mergeCell ref="K1198:K1199"/>
    <mergeCell ref="M1198:M1199"/>
    <mergeCell ref="AC1195:AC1197"/>
    <mergeCell ref="B1196:B1197"/>
    <mergeCell ref="C1196:E1196"/>
    <mergeCell ref="F1196:G1196"/>
    <mergeCell ref="K1196:K1197"/>
    <mergeCell ref="M1196:M1197"/>
    <mergeCell ref="T1196:T1197"/>
    <mergeCell ref="AD1196:AD1197"/>
    <mergeCell ref="C1197:E1197"/>
    <mergeCell ref="F1197:G1197"/>
    <mergeCell ref="Z1192:Z1194"/>
    <mergeCell ref="AA1192:AA1194"/>
    <mergeCell ref="AB1192:AB1194"/>
    <mergeCell ref="AC1192:AC1194"/>
    <mergeCell ref="AD1192:AD1193"/>
    <mergeCell ref="AE1192:AE1197"/>
    <mergeCell ref="C1193:E1193"/>
    <mergeCell ref="F1193:G1193"/>
    <mergeCell ref="B1194:B1195"/>
    <mergeCell ref="C1194:E1194"/>
    <mergeCell ref="F1194:G1194"/>
    <mergeCell ref="K1194:K1195"/>
    <mergeCell ref="M1194:M1195"/>
    <mergeCell ref="T1194:T1195"/>
    <mergeCell ref="AD1194:AD1195"/>
    <mergeCell ref="C1195:E1195"/>
    <mergeCell ref="F1195:G1195"/>
    <mergeCell ref="J1195:J1197"/>
    <mergeCell ref="N1195:O1197"/>
    <mergeCell ref="P1195:Q1197"/>
    <mergeCell ref="R1195:S1197"/>
    <mergeCell ref="Z1195:Z1197"/>
    <mergeCell ref="AA1195:AA1197"/>
    <mergeCell ref="AB1195:AB1197"/>
    <mergeCell ref="N1192:O1194"/>
    <mergeCell ref="P1192:Q1194"/>
    <mergeCell ref="R1192:S1194"/>
    <mergeCell ref="T1192:T1193"/>
    <mergeCell ref="U1192:U1197"/>
    <mergeCell ref="V1192:V1197"/>
    <mergeCell ref="W1192:W1197"/>
    <mergeCell ref="X1192:X1197"/>
    <mergeCell ref="Y1192:Y1197"/>
    <mergeCell ref="A1192:A1197"/>
    <mergeCell ref="B1192:B1193"/>
    <mergeCell ref="C1192:E1192"/>
    <mergeCell ref="F1192:G1192"/>
    <mergeCell ref="H1192:H1197"/>
    <mergeCell ref="J1192:J1194"/>
    <mergeCell ref="K1192:K1193"/>
    <mergeCell ref="M1192:M1193"/>
    <mergeCell ref="AC1201:AC1203"/>
    <mergeCell ref="B1202:B1203"/>
    <mergeCell ref="C1202:E1202"/>
    <mergeCell ref="F1202:G1202"/>
    <mergeCell ref="K1202:K1203"/>
    <mergeCell ref="M1190:M1191"/>
    <mergeCell ref="T1190:T1191"/>
    <mergeCell ref="AD1190:AD1191"/>
    <mergeCell ref="C1191:E1191"/>
    <mergeCell ref="F1191:G1191"/>
    <mergeCell ref="Z1186:Z1188"/>
    <mergeCell ref="AA1186:AA1188"/>
    <mergeCell ref="AB1186:AB1188"/>
    <mergeCell ref="AC1186:AC1188"/>
    <mergeCell ref="AD1186:AD1187"/>
    <mergeCell ref="AE1186:AE1191"/>
    <mergeCell ref="C1187:E1187"/>
    <mergeCell ref="F1187:G1187"/>
    <mergeCell ref="B1188:B1189"/>
    <mergeCell ref="C1188:E1188"/>
    <mergeCell ref="F1188:G1188"/>
    <mergeCell ref="K1188:K1189"/>
    <mergeCell ref="M1188:M1189"/>
    <mergeCell ref="T1188:T1189"/>
    <mergeCell ref="AD1188:AD1189"/>
    <mergeCell ref="C1189:E1189"/>
    <mergeCell ref="F1189:G1189"/>
    <mergeCell ref="J1189:J1191"/>
    <mergeCell ref="N1189:O1191"/>
    <mergeCell ref="P1189:Q1191"/>
    <mergeCell ref="R1189:S1191"/>
    <mergeCell ref="Z1189:Z1191"/>
    <mergeCell ref="AA1189:AA1191"/>
    <mergeCell ref="AB1189:AB1191"/>
    <mergeCell ref="N1186:O1188"/>
    <mergeCell ref="P1186:Q1188"/>
    <mergeCell ref="R1186:S1188"/>
    <mergeCell ref="T1186:T1187"/>
    <mergeCell ref="U1186:U1191"/>
    <mergeCell ref="V1186:V1191"/>
    <mergeCell ref="W1186:W1191"/>
    <mergeCell ref="X1186:X1191"/>
    <mergeCell ref="Y1186:Y1191"/>
    <mergeCell ref="A1186:A1191"/>
    <mergeCell ref="B1186:B1187"/>
    <mergeCell ref="C1186:E1186"/>
    <mergeCell ref="F1186:G1186"/>
    <mergeCell ref="H1186:H1191"/>
    <mergeCell ref="J1186:J1188"/>
    <mergeCell ref="K1186:K1187"/>
    <mergeCell ref="M1186:M1187"/>
    <mergeCell ref="AC1181:AC1183"/>
    <mergeCell ref="B1182:B1183"/>
    <mergeCell ref="C1182:E1182"/>
    <mergeCell ref="F1182:G1182"/>
    <mergeCell ref="K1182:K1183"/>
    <mergeCell ref="M1182:M1183"/>
    <mergeCell ref="T1182:T1183"/>
    <mergeCell ref="AD1182:AD1183"/>
    <mergeCell ref="C1183:E1183"/>
    <mergeCell ref="F1183:G1183"/>
    <mergeCell ref="Z1178:Z1180"/>
    <mergeCell ref="AA1178:AA1180"/>
    <mergeCell ref="AB1178:AB1180"/>
    <mergeCell ref="AC1178:AC1180"/>
    <mergeCell ref="AD1178:AD1179"/>
    <mergeCell ref="AE1178:AE1183"/>
    <mergeCell ref="C1179:E1179"/>
    <mergeCell ref="F1179:G1179"/>
    <mergeCell ref="B1180:B1181"/>
    <mergeCell ref="C1180:E1180"/>
    <mergeCell ref="F1180:G1180"/>
    <mergeCell ref="K1180:K1181"/>
    <mergeCell ref="M1180:M1181"/>
    <mergeCell ref="T1180:T1181"/>
    <mergeCell ref="AD1180:AD1181"/>
    <mergeCell ref="C1181:E1181"/>
    <mergeCell ref="F1181:G1181"/>
    <mergeCell ref="J1181:J1183"/>
    <mergeCell ref="N1181:O1183"/>
    <mergeCell ref="P1181:Q1183"/>
    <mergeCell ref="R1181:S1183"/>
    <mergeCell ref="Z1181:Z1183"/>
    <mergeCell ref="AA1181:AA1183"/>
    <mergeCell ref="AB1181:AB1183"/>
    <mergeCell ref="N1178:O1180"/>
    <mergeCell ref="P1178:Q1180"/>
    <mergeCell ref="R1178:S1180"/>
    <mergeCell ref="T1178:T1179"/>
    <mergeCell ref="U1178:U1183"/>
    <mergeCell ref="V1178:V1183"/>
    <mergeCell ref="W1178:W1183"/>
    <mergeCell ref="X1178:X1183"/>
    <mergeCell ref="Y1178:Y1183"/>
    <mergeCell ref="A1178:A1183"/>
    <mergeCell ref="B1178:B1179"/>
    <mergeCell ref="C1178:E1178"/>
    <mergeCell ref="F1178:G1178"/>
    <mergeCell ref="H1178:H1183"/>
    <mergeCell ref="J1178:J1180"/>
    <mergeCell ref="K1178:K1179"/>
    <mergeCell ref="M1178:M1179"/>
    <mergeCell ref="AC1189:AC1191"/>
    <mergeCell ref="B1190:B1191"/>
    <mergeCell ref="C1190:E1190"/>
    <mergeCell ref="F1190:G1190"/>
    <mergeCell ref="K1190:K1191"/>
    <mergeCell ref="M1176:M1177"/>
    <mergeCell ref="T1176:T1177"/>
    <mergeCell ref="AD1176:AD1177"/>
    <mergeCell ref="C1177:E1177"/>
    <mergeCell ref="F1177:G1177"/>
    <mergeCell ref="Z1172:Z1174"/>
    <mergeCell ref="AA1172:AA1174"/>
    <mergeCell ref="AB1172:AB1174"/>
    <mergeCell ref="AC1172:AC1174"/>
    <mergeCell ref="AD1172:AD1173"/>
    <mergeCell ref="AE1172:AE1177"/>
    <mergeCell ref="C1173:E1173"/>
    <mergeCell ref="F1173:G1173"/>
    <mergeCell ref="B1174:B1175"/>
    <mergeCell ref="C1174:E1174"/>
    <mergeCell ref="F1174:G1174"/>
    <mergeCell ref="K1174:K1175"/>
    <mergeCell ref="M1174:M1175"/>
    <mergeCell ref="T1174:T1175"/>
    <mergeCell ref="AD1174:AD1175"/>
    <mergeCell ref="C1175:E1175"/>
    <mergeCell ref="F1175:G1175"/>
    <mergeCell ref="J1175:J1177"/>
    <mergeCell ref="N1175:O1177"/>
    <mergeCell ref="P1175:Q1177"/>
    <mergeCell ref="R1175:S1177"/>
    <mergeCell ref="Z1175:Z1177"/>
    <mergeCell ref="AA1175:AA1177"/>
    <mergeCell ref="AB1175:AB1177"/>
    <mergeCell ref="N1172:O1174"/>
    <mergeCell ref="P1172:Q1174"/>
    <mergeCell ref="R1172:S1174"/>
    <mergeCell ref="T1172:T1173"/>
    <mergeCell ref="U1172:U1177"/>
    <mergeCell ref="V1172:V1177"/>
    <mergeCell ref="W1172:W1177"/>
    <mergeCell ref="X1172:X1177"/>
    <mergeCell ref="Y1172:Y1177"/>
    <mergeCell ref="A1172:A1177"/>
    <mergeCell ref="B1172:B1173"/>
    <mergeCell ref="C1172:E1172"/>
    <mergeCell ref="F1172:G1172"/>
    <mergeCell ref="H1172:H1177"/>
    <mergeCell ref="J1172:J1174"/>
    <mergeCell ref="K1172:K1173"/>
    <mergeCell ref="M1172:M1173"/>
    <mergeCell ref="AC1169:AC1171"/>
    <mergeCell ref="B1170:B1171"/>
    <mergeCell ref="C1170:E1170"/>
    <mergeCell ref="F1170:G1170"/>
    <mergeCell ref="K1170:K1171"/>
    <mergeCell ref="M1170:M1171"/>
    <mergeCell ref="T1170:T1171"/>
    <mergeCell ref="AD1170:AD1171"/>
    <mergeCell ref="C1171:E1171"/>
    <mergeCell ref="F1171:G1171"/>
    <mergeCell ref="Z1166:Z1168"/>
    <mergeCell ref="AA1166:AA1168"/>
    <mergeCell ref="AB1166:AB1168"/>
    <mergeCell ref="AC1166:AC1168"/>
    <mergeCell ref="AD1166:AD1167"/>
    <mergeCell ref="AE1166:AE1171"/>
    <mergeCell ref="C1167:E1167"/>
    <mergeCell ref="F1167:G1167"/>
    <mergeCell ref="B1168:B1169"/>
    <mergeCell ref="C1168:E1168"/>
    <mergeCell ref="F1168:G1168"/>
    <mergeCell ref="K1168:K1169"/>
    <mergeCell ref="M1168:M1169"/>
    <mergeCell ref="T1168:T1169"/>
    <mergeCell ref="AD1168:AD1169"/>
    <mergeCell ref="C1169:E1169"/>
    <mergeCell ref="F1169:G1169"/>
    <mergeCell ref="J1169:J1171"/>
    <mergeCell ref="N1169:O1171"/>
    <mergeCell ref="P1169:Q1171"/>
    <mergeCell ref="R1169:S1171"/>
    <mergeCell ref="Z1169:Z1171"/>
    <mergeCell ref="AA1169:AA1171"/>
    <mergeCell ref="AB1169:AB1171"/>
    <mergeCell ref="N1166:O1168"/>
    <mergeCell ref="P1166:Q1168"/>
    <mergeCell ref="R1166:S1168"/>
    <mergeCell ref="T1166:T1167"/>
    <mergeCell ref="U1166:U1171"/>
    <mergeCell ref="V1166:V1171"/>
    <mergeCell ref="W1166:W1171"/>
    <mergeCell ref="X1166:X1171"/>
    <mergeCell ref="Y1166:Y1171"/>
    <mergeCell ref="A1166:A1171"/>
    <mergeCell ref="B1166:B1167"/>
    <mergeCell ref="C1166:E1166"/>
    <mergeCell ref="F1166:G1166"/>
    <mergeCell ref="H1166:H1171"/>
    <mergeCell ref="J1166:J1168"/>
    <mergeCell ref="K1166:K1167"/>
    <mergeCell ref="M1166:M1167"/>
    <mergeCell ref="AC1175:AC1177"/>
    <mergeCell ref="B1176:B1177"/>
    <mergeCell ref="C1176:E1176"/>
    <mergeCell ref="F1176:G1176"/>
    <mergeCell ref="K1176:K1177"/>
    <mergeCell ref="M1164:M1165"/>
    <mergeCell ref="T1164:T1165"/>
    <mergeCell ref="AD1164:AD1165"/>
    <mergeCell ref="C1165:E1165"/>
    <mergeCell ref="F1165:G1165"/>
    <mergeCell ref="Z1160:Z1162"/>
    <mergeCell ref="AA1160:AA1162"/>
    <mergeCell ref="AB1160:AB1162"/>
    <mergeCell ref="AC1160:AC1162"/>
    <mergeCell ref="AD1160:AD1161"/>
    <mergeCell ref="AE1160:AE1165"/>
    <mergeCell ref="C1161:E1161"/>
    <mergeCell ref="F1161:G1161"/>
    <mergeCell ref="B1162:B1163"/>
    <mergeCell ref="C1162:E1162"/>
    <mergeCell ref="F1162:G1162"/>
    <mergeCell ref="K1162:K1163"/>
    <mergeCell ref="M1162:M1163"/>
    <mergeCell ref="T1162:T1163"/>
    <mergeCell ref="AD1162:AD1163"/>
    <mergeCell ref="C1163:E1163"/>
    <mergeCell ref="F1163:G1163"/>
    <mergeCell ref="J1163:J1165"/>
    <mergeCell ref="N1163:O1165"/>
    <mergeCell ref="P1163:Q1165"/>
    <mergeCell ref="R1163:S1165"/>
    <mergeCell ref="Z1163:Z1165"/>
    <mergeCell ref="AA1163:AA1165"/>
    <mergeCell ref="AB1163:AB1165"/>
    <mergeCell ref="N1160:O1162"/>
    <mergeCell ref="P1160:Q1162"/>
    <mergeCell ref="R1160:S1162"/>
    <mergeCell ref="T1160:T1161"/>
    <mergeCell ref="U1160:U1165"/>
    <mergeCell ref="V1160:V1165"/>
    <mergeCell ref="W1160:W1165"/>
    <mergeCell ref="X1160:X1165"/>
    <mergeCell ref="Y1160:Y1165"/>
    <mergeCell ref="A1160:A1165"/>
    <mergeCell ref="B1160:B1161"/>
    <mergeCell ref="C1160:E1160"/>
    <mergeCell ref="F1160:G1160"/>
    <mergeCell ref="H1160:H1165"/>
    <mergeCell ref="J1160:J1162"/>
    <mergeCell ref="K1160:K1161"/>
    <mergeCell ref="M1160:M1161"/>
    <mergeCell ref="AC1157:AC1159"/>
    <mergeCell ref="B1158:B1159"/>
    <mergeCell ref="C1158:E1158"/>
    <mergeCell ref="F1158:G1158"/>
    <mergeCell ref="K1158:K1159"/>
    <mergeCell ref="M1158:M1159"/>
    <mergeCell ref="T1158:T1159"/>
    <mergeCell ref="AD1158:AD1159"/>
    <mergeCell ref="C1159:E1159"/>
    <mergeCell ref="F1159:G1159"/>
    <mergeCell ref="Z1154:Z1156"/>
    <mergeCell ref="AA1154:AA1156"/>
    <mergeCell ref="AB1154:AB1156"/>
    <mergeCell ref="AC1154:AC1156"/>
    <mergeCell ref="AD1154:AD1155"/>
    <mergeCell ref="AE1154:AE1159"/>
    <mergeCell ref="C1155:E1155"/>
    <mergeCell ref="F1155:G1155"/>
    <mergeCell ref="B1156:B1157"/>
    <mergeCell ref="C1156:E1156"/>
    <mergeCell ref="F1156:G1156"/>
    <mergeCell ref="K1156:K1157"/>
    <mergeCell ref="M1156:M1157"/>
    <mergeCell ref="T1156:T1157"/>
    <mergeCell ref="AD1156:AD1157"/>
    <mergeCell ref="C1157:E1157"/>
    <mergeCell ref="F1157:G1157"/>
    <mergeCell ref="J1157:J1159"/>
    <mergeCell ref="N1157:O1159"/>
    <mergeCell ref="P1157:Q1159"/>
    <mergeCell ref="R1157:S1159"/>
    <mergeCell ref="Z1157:Z1159"/>
    <mergeCell ref="AA1157:AA1159"/>
    <mergeCell ref="AB1157:AB1159"/>
    <mergeCell ref="N1154:O1156"/>
    <mergeCell ref="P1154:Q1156"/>
    <mergeCell ref="R1154:S1156"/>
    <mergeCell ref="T1154:T1155"/>
    <mergeCell ref="U1154:U1159"/>
    <mergeCell ref="V1154:V1159"/>
    <mergeCell ref="W1154:W1159"/>
    <mergeCell ref="X1154:X1159"/>
    <mergeCell ref="Y1154:Y1159"/>
    <mergeCell ref="A1154:A1159"/>
    <mergeCell ref="B1154:B1155"/>
    <mergeCell ref="C1154:E1154"/>
    <mergeCell ref="F1154:G1154"/>
    <mergeCell ref="H1154:H1159"/>
    <mergeCell ref="J1154:J1156"/>
    <mergeCell ref="K1154:K1155"/>
    <mergeCell ref="M1154:M1155"/>
    <mergeCell ref="AC1163:AC1165"/>
    <mergeCell ref="B1164:B1165"/>
    <mergeCell ref="C1164:E1164"/>
    <mergeCell ref="F1164:G1164"/>
    <mergeCell ref="K1164:K1165"/>
    <mergeCell ref="M1150:M1151"/>
    <mergeCell ref="T1150:T1151"/>
    <mergeCell ref="AD1150:AD1151"/>
    <mergeCell ref="C1151:E1151"/>
    <mergeCell ref="F1151:G1151"/>
    <mergeCell ref="Z1146:Z1148"/>
    <mergeCell ref="AA1146:AA1148"/>
    <mergeCell ref="AB1146:AB1148"/>
    <mergeCell ref="AC1146:AC1148"/>
    <mergeCell ref="AD1146:AD1147"/>
    <mergeCell ref="AE1146:AE1151"/>
    <mergeCell ref="C1147:E1147"/>
    <mergeCell ref="F1147:G1147"/>
    <mergeCell ref="B1148:B1149"/>
    <mergeCell ref="C1148:E1148"/>
    <mergeCell ref="F1148:G1148"/>
    <mergeCell ref="K1148:K1149"/>
    <mergeCell ref="M1148:M1149"/>
    <mergeCell ref="T1148:T1149"/>
    <mergeCell ref="AD1148:AD1149"/>
    <mergeCell ref="C1149:E1149"/>
    <mergeCell ref="F1149:G1149"/>
    <mergeCell ref="J1149:J1151"/>
    <mergeCell ref="N1149:O1151"/>
    <mergeCell ref="P1149:Q1151"/>
    <mergeCell ref="R1149:S1151"/>
    <mergeCell ref="Z1149:Z1151"/>
    <mergeCell ref="AA1149:AA1151"/>
    <mergeCell ref="AB1149:AB1151"/>
    <mergeCell ref="N1146:O1148"/>
    <mergeCell ref="P1146:Q1148"/>
    <mergeCell ref="R1146:S1148"/>
    <mergeCell ref="T1146:T1147"/>
    <mergeCell ref="U1146:U1151"/>
    <mergeCell ref="V1146:V1151"/>
    <mergeCell ref="W1146:W1151"/>
    <mergeCell ref="X1146:X1151"/>
    <mergeCell ref="Y1146:Y1151"/>
    <mergeCell ref="A1146:A1151"/>
    <mergeCell ref="B1146:B1147"/>
    <mergeCell ref="C1146:E1146"/>
    <mergeCell ref="F1146:G1146"/>
    <mergeCell ref="H1146:H1151"/>
    <mergeCell ref="J1146:J1148"/>
    <mergeCell ref="K1146:K1147"/>
    <mergeCell ref="M1146:M1147"/>
    <mergeCell ref="AC1143:AC1145"/>
    <mergeCell ref="B1144:B1145"/>
    <mergeCell ref="C1144:E1144"/>
    <mergeCell ref="F1144:G1144"/>
    <mergeCell ref="K1144:K1145"/>
    <mergeCell ref="M1144:M1145"/>
    <mergeCell ref="T1144:T1145"/>
    <mergeCell ref="AD1144:AD1145"/>
    <mergeCell ref="C1145:E1145"/>
    <mergeCell ref="F1145:G1145"/>
    <mergeCell ref="Z1140:Z1142"/>
    <mergeCell ref="AA1140:AA1142"/>
    <mergeCell ref="AB1140:AB1142"/>
    <mergeCell ref="AC1140:AC1142"/>
    <mergeCell ref="AD1140:AD1141"/>
    <mergeCell ref="AE1140:AE1145"/>
    <mergeCell ref="C1141:E1141"/>
    <mergeCell ref="F1141:G1141"/>
    <mergeCell ref="B1142:B1143"/>
    <mergeCell ref="C1142:E1142"/>
    <mergeCell ref="F1142:G1142"/>
    <mergeCell ref="K1142:K1143"/>
    <mergeCell ref="M1142:M1143"/>
    <mergeCell ref="T1142:T1143"/>
    <mergeCell ref="AD1142:AD1143"/>
    <mergeCell ref="C1143:E1143"/>
    <mergeCell ref="F1143:G1143"/>
    <mergeCell ref="J1143:J1145"/>
    <mergeCell ref="N1143:O1145"/>
    <mergeCell ref="P1143:Q1145"/>
    <mergeCell ref="R1143:S1145"/>
    <mergeCell ref="Z1143:Z1145"/>
    <mergeCell ref="AA1143:AA1145"/>
    <mergeCell ref="AB1143:AB1145"/>
    <mergeCell ref="N1140:O1142"/>
    <mergeCell ref="P1140:Q1142"/>
    <mergeCell ref="R1140:S1142"/>
    <mergeCell ref="T1140:T1141"/>
    <mergeCell ref="U1140:U1145"/>
    <mergeCell ref="V1140:V1145"/>
    <mergeCell ref="W1140:W1145"/>
    <mergeCell ref="X1140:X1145"/>
    <mergeCell ref="Y1140:Y1145"/>
    <mergeCell ref="A1140:A1145"/>
    <mergeCell ref="B1140:B1141"/>
    <mergeCell ref="C1140:E1140"/>
    <mergeCell ref="F1140:G1140"/>
    <mergeCell ref="H1140:H1145"/>
    <mergeCell ref="J1140:J1142"/>
    <mergeCell ref="K1140:K1141"/>
    <mergeCell ref="M1140:M1141"/>
    <mergeCell ref="AC1149:AC1151"/>
    <mergeCell ref="B1150:B1151"/>
    <mergeCell ref="C1150:E1150"/>
    <mergeCell ref="F1150:G1150"/>
    <mergeCell ref="K1150:K1151"/>
    <mergeCell ref="M1138:M1139"/>
    <mergeCell ref="T1138:T1139"/>
    <mergeCell ref="AD1138:AD1139"/>
    <mergeCell ref="C1139:E1139"/>
    <mergeCell ref="F1139:G1139"/>
    <mergeCell ref="Z1134:Z1136"/>
    <mergeCell ref="AA1134:AA1136"/>
    <mergeCell ref="AB1134:AB1136"/>
    <mergeCell ref="AC1134:AC1136"/>
    <mergeCell ref="AD1134:AD1135"/>
    <mergeCell ref="AE1134:AE1139"/>
    <mergeCell ref="C1135:E1135"/>
    <mergeCell ref="F1135:G1135"/>
    <mergeCell ref="B1136:B1137"/>
    <mergeCell ref="C1136:E1136"/>
    <mergeCell ref="F1136:G1136"/>
    <mergeCell ref="K1136:K1137"/>
    <mergeCell ref="M1136:M1137"/>
    <mergeCell ref="T1136:T1137"/>
    <mergeCell ref="AD1136:AD1137"/>
    <mergeCell ref="C1137:E1137"/>
    <mergeCell ref="F1137:G1137"/>
    <mergeCell ref="J1137:J1139"/>
    <mergeCell ref="N1137:O1139"/>
    <mergeCell ref="P1137:Q1139"/>
    <mergeCell ref="R1137:S1139"/>
    <mergeCell ref="Z1137:Z1139"/>
    <mergeCell ref="AA1137:AA1139"/>
    <mergeCell ref="AB1137:AB1139"/>
    <mergeCell ref="N1134:O1136"/>
    <mergeCell ref="P1134:Q1136"/>
    <mergeCell ref="R1134:S1136"/>
    <mergeCell ref="T1134:T1135"/>
    <mergeCell ref="U1134:U1139"/>
    <mergeCell ref="V1134:V1139"/>
    <mergeCell ref="W1134:W1139"/>
    <mergeCell ref="X1134:X1139"/>
    <mergeCell ref="Y1134:Y1139"/>
    <mergeCell ref="A1134:A1139"/>
    <mergeCell ref="B1134:B1135"/>
    <mergeCell ref="C1134:E1134"/>
    <mergeCell ref="F1134:G1134"/>
    <mergeCell ref="H1134:H1139"/>
    <mergeCell ref="J1134:J1136"/>
    <mergeCell ref="K1134:K1135"/>
    <mergeCell ref="M1134:M1135"/>
    <mergeCell ref="AC1131:AC1133"/>
    <mergeCell ref="B1132:B1133"/>
    <mergeCell ref="C1132:E1132"/>
    <mergeCell ref="F1132:G1132"/>
    <mergeCell ref="K1132:K1133"/>
    <mergeCell ref="M1132:M1133"/>
    <mergeCell ref="T1132:T1133"/>
    <mergeCell ref="AD1132:AD1133"/>
    <mergeCell ref="C1133:E1133"/>
    <mergeCell ref="F1133:G1133"/>
    <mergeCell ref="Z1128:Z1130"/>
    <mergeCell ref="AA1128:AA1130"/>
    <mergeCell ref="AB1128:AB1130"/>
    <mergeCell ref="AC1128:AC1130"/>
    <mergeCell ref="AD1128:AD1129"/>
    <mergeCell ref="AE1128:AE1133"/>
    <mergeCell ref="C1129:E1129"/>
    <mergeCell ref="F1129:G1129"/>
    <mergeCell ref="B1130:B1131"/>
    <mergeCell ref="C1130:E1130"/>
    <mergeCell ref="F1130:G1130"/>
    <mergeCell ref="K1130:K1131"/>
    <mergeCell ref="M1130:M1131"/>
    <mergeCell ref="T1130:T1131"/>
    <mergeCell ref="AD1130:AD1131"/>
    <mergeCell ref="C1131:E1131"/>
    <mergeCell ref="F1131:G1131"/>
    <mergeCell ref="J1131:J1133"/>
    <mergeCell ref="N1131:O1133"/>
    <mergeCell ref="P1131:Q1133"/>
    <mergeCell ref="R1131:S1133"/>
    <mergeCell ref="Z1131:Z1133"/>
    <mergeCell ref="AA1131:AA1133"/>
    <mergeCell ref="AB1131:AB1133"/>
    <mergeCell ref="N1128:O1130"/>
    <mergeCell ref="P1128:Q1130"/>
    <mergeCell ref="R1128:S1130"/>
    <mergeCell ref="T1128:T1129"/>
    <mergeCell ref="U1128:U1133"/>
    <mergeCell ref="V1128:V1133"/>
    <mergeCell ref="W1128:W1133"/>
    <mergeCell ref="X1128:X1133"/>
    <mergeCell ref="Y1128:Y1133"/>
    <mergeCell ref="A1128:A1133"/>
    <mergeCell ref="B1128:B1129"/>
    <mergeCell ref="C1128:E1128"/>
    <mergeCell ref="F1128:G1128"/>
    <mergeCell ref="H1128:H1133"/>
    <mergeCell ref="J1128:J1130"/>
    <mergeCell ref="K1128:K1129"/>
    <mergeCell ref="M1128:M1129"/>
    <mergeCell ref="AC1137:AC1139"/>
    <mergeCell ref="B1138:B1139"/>
    <mergeCell ref="C1138:E1138"/>
    <mergeCell ref="F1138:G1138"/>
    <mergeCell ref="K1138:K1139"/>
    <mergeCell ref="M1126:M1127"/>
    <mergeCell ref="T1126:T1127"/>
    <mergeCell ref="AD1126:AD1127"/>
    <mergeCell ref="C1127:E1127"/>
    <mergeCell ref="F1127:G1127"/>
    <mergeCell ref="Z1122:Z1124"/>
    <mergeCell ref="AA1122:AA1124"/>
    <mergeCell ref="AB1122:AB1124"/>
    <mergeCell ref="AC1122:AC1124"/>
    <mergeCell ref="AD1122:AD1123"/>
    <mergeCell ref="AE1122:AE1127"/>
    <mergeCell ref="C1123:E1123"/>
    <mergeCell ref="F1123:G1123"/>
    <mergeCell ref="B1124:B1125"/>
    <mergeCell ref="C1124:E1124"/>
    <mergeCell ref="F1124:G1124"/>
    <mergeCell ref="K1124:K1125"/>
    <mergeCell ref="M1124:M1125"/>
    <mergeCell ref="T1124:T1125"/>
    <mergeCell ref="AD1124:AD1125"/>
    <mergeCell ref="C1125:E1125"/>
    <mergeCell ref="F1125:G1125"/>
    <mergeCell ref="J1125:J1127"/>
    <mergeCell ref="N1125:O1127"/>
    <mergeCell ref="P1125:Q1127"/>
    <mergeCell ref="R1125:S1127"/>
    <mergeCell ref="Z1125:Z1127"/>
    <mergeCell ref="AA1125:AA1127"/>
    <mergeCell ref="AB1125:AB1127"/>
    <mergeCell ref="N1122:O1124"/>
    <mergeCell ref="P1122:Q1124"/>
    <mergeCell ref="R1122:S1124"/>
    <mergeCell ref="T1122:T1123"/>
    <mergeCell ref="U1122:U1127"/>
    <mergeCell ref="V1122:V1127"/>
    <mergeCell ref="W1122:W1127"/>
    <mergeCell ref="X1122:X1127"/>
    <mergeCell ref="Y1122:Y1127"/>
    <mergeCell ref="A1122:A1127"/>
    <mergeCell ref="B1122:B1123"/>
    <mergeCell ref="C1122:E1122"/>
    <mergeCell ref="F1122:G1122"/>
    <mergeCell ref="H1122:H1127"/>
    <mergeCell ref="J1122:J1124"/>
    <mergeCell ref="K1122:K1123"/>
    <mergeCell ref="M1122:M1123"/>
    <mergeCell ref="AC1117:AC1119"/>
    <mergeCell ref="B1118:B1119"/>
    <mergeCell ref="C1118:E1118"/>
    <mergeCell ref="F1118:G1118"/>
    <mergeCell ref="K1118:K1119"/>
    <mergeCell ref="M1118:M1119"/>
    <mergeCell ref="T1118:T1119"/>
    <mergeCell ref="AD1118:AD1119"/>
    <mergeCell ref="C1119:E1119"/>
    <mergeCell ref="F1119:G1119"/>
    <mergeCell ref="Z1114:Z1116"/>
    <mergeCell ref="AA1114:AA1116"/>
    <mergeCell ref="AB1114:AB1116"/>
    <mergeCell ref="AC1114:AC1116"/>
    <mergeCell ref="AD1114:AD1115"/>
    <mergeCell ref="AE1114:AE1119"/>
    <mergeCell ref="C1115:E1115"/>
    <mergeCell ref="F1115:G1115"/>
    <mergeCell ref="B1116:B1117"/>
    <mergeCell ref="C1116:E1116"/>
    <mergeCell ref="F1116:G1116"/>
    <mergeCell ref="K1116:K1117"/>
    <mergeCell ref="M1116:M1117"/>
    <mergeCell ref="T1116:T1117"/>
    <mergeCell ref="AD1116:AD1117"/>
    <mergeCell ref="C1117:E1117"/>
    <mergeCell ref="F1117:G1117"/>
    <mergeCell ref="J1117:J1119"/>
    <mergeCell ref="N1117:O1119"/>
    <mergeCell ref="P1117:Q1119"/>
    <mergeCell ref="R1117:S1119"/>
    <mergeCell ref="Z1117:Z1119"/>
    <mergeCell ref="AA1117:AA1119"/>
    <mergeCell ref="AB1117:AB1119"/>
    <mergeCell ref="N1114:O1116"/>
    <mergeCell ref="P1114:Q1116"/>
    <mergeCell ref="R1114:S1116"/>
    <mergeCell ref="T1114:T1115"/>
    <mergeCell ref="U1114:U1119"/>
    <mergeCell ref="V1114:V1119"/>
    <mergeCell ref="W1114:W1119"/>
    <mergeCell ref="X1114:X1119"/>
    <mergeCell ref="Y1114:Y1119"/>
    <mergeCell ref="A1114:A1119"/>
    <mergeCell ref="B1114:B1115"/>
    <mergeCell ref="C1114:E1114"/>
    <mergeCell ref="F1114:G1114"/>
    <mergeCell ref="H1114:H1119"/>
    <mergeCell ref="J1114:J1116"/>
    <mergeCell ref="K1114:K1115"/>
    <mergeCell ref="M1114:M1115"/>
    <mergeCell ref="AC1125:AC1127"/>
    <mergeCell ref="B1126:B1127"/>
    <mergeCell ref="C1126:E1126"/>
    <mergeCell ref="F1126:G1126"/>
    <mergeCell ref="K1126:K1127"/>
    <mergeCell ref="M1112:M1113"/>
    <mergeCell ref="T1112:T1113"/>
    <mergeCell ref="AD1112:AD1113"/>
    <mergeCell ref="C1113:E1113"/>
    <mergeCell ref="F1113:G1113"/>
    <mergeCell ref="Z1108:Z1110"/>
    <mergeCell ref="AA1108:AA1110"/>
    <mergeCell ref="AB1108:AB1110"/>
    <mergeCell ref="AC1108:AC1110"/>
    <mergeCell ref="AD1108:AD1109"/>
    <mergeCell ref="AE1108:AE1113"/>
    <mergeCell ref="C1109:E1109"/>
    <mergeCell ref="F1109:G1109"/>
    <mergeCell ref="B1110:B1111"/>
    <mergeCell ref="C1110:E1110"/>
    <mergeCell ref="F1110:G1110"/>
    <mergeCell ref="K1110:K1111"/>
    <mergeCell ref="M1110:M1111"/>
    <mergeCell ref="T1110:T1111"/>
    <mergeCell ref="AD1110:AD1111"/>
    <mergeCell ref="C1111:E1111"/>
    <mergeCell ref="F1111:G1111"/>
    <mergeCell ref="J1111:J1113"/>
    <mergeCell ref="N1111:O1113"/>
    <mergeCell ref="P1111:Q1113"/>
    <mergeCell ref="R1111:S1113"/>
    <mergeCell ref="Z1111:Z1113"/>
    <mergeCell ref="AA1111:AA1113"/>
    <mergeCell ref="AB1111:AB1113"/>
    <mergeCell ref="N1108:O1110"/>
    <mergeCell ref="P1108:Q1110"/>
    <mergeCell ref="R1108:S1110"/>
    <mergeCell ref="T1108:T1109"/>
    <mergeCell ref="U1108:U1113"/>
    <mergeCell ref="V1108:V1113"/>
    <mergeCell ref="W1108:W1113"/>
    <mergeCell ref="X1108:X1113"/>
    <mergeCell ref="Y1108:Y1113"/>
    <mergeCell ref="A1108:A1113"/>
    <mergeCell ref="B1108:B1109"/>
    <mergeCell ref="C1108:E1108"/>
    <mergeCell ref="F1108:G1108"/>
    <mergeCell ref="H1108:H1113"/>
    <mergeCell ref="J1108:J1110"/>
    <mergeCell ref="K1108:K1109"/>
    <mergeCell ref="M1108:M1109"/>
    <mergeCell ref="AC1105:AC1107"/>
    <mergeCell ref="B1106:B1107"/>
    <mergeCell ref="C1106:E1106"/>
    <mergeCell ref="F1106:G1106"/>
    <mergeCell ref="K1106:K1107"/>
    <mergeCell ref="M1106:M1107"/>
    <mergeCell ref="T1106:T1107"/>
    <mergeCell ref="AD1106:AD1107"/>
    <mergeCell ref="C1107:E1107"/>
    <mergeCell ref="F1107:G1107"/>
    <mergeCell ref="Z1102:Z1104"/>
    <mergeCell ref="AA1102:AA1104"/>
    <mergeCell ref="AB1102:AB1104"/>
    <mergeCell ref="AC1102:AC1104"/>
    <mergeCell ref="AD1102:AD1103"/>
    <mergeCell ref="AE1102:AE1107"/>
    <mergeCell ref="C1103:E1103"/>
    <mergeCell ref="F1103:G1103"/>
    <mergeCell ref="B1104:B1105"/>
    <mergeCell ref="C1104:E1104"/>
    <mergeCell ref="F1104:G1104"/>
    <mergeCell ref="K1104:K1105"/>
    <mergeCell ref="M1104:M1105"/>
    <mergeCell ref="T1104:T1105"/>
    <mergeCell ref="AD1104:AD1105"/>
    <mergeCell ref="C1105:E1105"/>
    <mergeCell ref="F1105:G1105"/>
    <mergeCell ref="J1105:J1107"/>
    <mergeCell ref="N1105:O1107"/>
    <mergeCell ref="P1105:Q1107"/>
    <mergeCell ref="R1105:S1107"/>
    <mergeCell ref="Z1105:Z1107"/>
    <mergeCell ref="AA1105:AA1107"/>
    <mergeCell ref="AB1105:AB1107"/>
    <mergeCell ref="N1102:O1104"/>
    <mergeCell ref="P1102:Q1104"/>
    <mergeCell ref="R1102:S1104"/>
    <mergeCell ref="T1102:T1103"/>
    <mergeCell ref="U1102:U1107"/>
    <mergeCell ref="V1102:V1107"/>
    <mergeCell ref="W1102:W1107"/>
    <mergeCell ref="X1102:X1107"/>
    <mergeCell ref="Y1102:Y1107"/>
    <mergeCell ref="A1102:A1107"/>
    <mergeCell ref="B1102:B1103"/>
    <mergeCell ref="C1102:E1102"/>
    <mergeCell ref="F1102:G1102"/>
    <mergeCell ref="H1102:H1107"/>
    <mergeCell ref="J1102:J1104"/>
    <mergeCell ref="K1102:K1103"/>
    <mergeCell ref="M1102:M1103"/>
    <mergeCell ref="AC1111:AC1113"/>
    <mergeCell ref="B1112:B1113"/>
    <mergeCell ref="C1112:E1112"/>
    <mergeCell ref="F1112:G1112"/>
    <mergeCell ref="K1112:K1113"/>
    <mergeCell ref="M1100:M1101"/>
    <mergeCell ref="T1100:T1101"/>
    <mergeCell ref="AD1100:AD1101"/>
    <mergeCell ref="C1101:E1101"/>
    <mergeCell ref="F1101:G1101"/>
    <mergeCell ref="Z1096:Z1098"/>
    <mergeCell ref="AA1096:AA1098"/>
    <mergeCell ref="AB1096:AB1098"/>
    <mergeCell ref="AC1096:AC1098"/>
    <mergeCell ref="AD1096:AD1097"/>
    <mergeCell ref="AE1096:AE1101"/>
    <mergeCell ref="C1097:E1097"/>
    <mergeCell ref="F1097:G1097"/>
    <mergeCell ref="B1098:B1099"/>
    <mergeCell ref="C1098:E1098"/>
    <mergeCell ref="F1098:G1098"/>
    <mergeCell ref="K1098:K1099"/>
    <mergeCell ref="M1098:M1099"/>
    <mergeCell ref="T1098:T1099"/>
    <mergeCell ref="AD1098:AD1099"/>
    <mergeCell ref="C1099:E1099"/>
    <mergeCell ref="F1099:G1099"/>
    <mergeCell ref="J1099:J1101"/>
    <mergeCell ref="N1099:O1101"/>
    <mergeCell ref="P1099:Q1101"/>
    <mergeCell ref="R1099:S1101"/>
    <mergeCell ref="Z1099:Z1101"/>
    <mergeCell ref="AA1099:AA1101"/>
    <mergeCell ref="AB1099:AB1101"/>
    <mergeCell ref="N1096:O1098"/>
    <mergeCell ref="P1096:Q1098"/>
    <mergeCell ref="R1096:S1098"/>
    <mergeCell ref="T1096:T1097"/>
    <mergeCell ref="U1096:U1101"/>
    <mergeCell ref="V1096:V1101"/>
    <mergeCell ref="W1096:W1101"/>
    <mergeCell ref="X1096:X1101"/>
    <mergeCell ref="Y1096:Y1101"/>
    <mergeCell ref="A1096:A1101"/>
    <mergeCell ref="B1096:B1097"/>
    <mergeCell ref="C1096:E1096"/>
    <mergeCell ref="F1096:G1096"/>
    <mergeCell ref="H1096:H1101"/>
    <mergeCell ref="J1096:J1098"/>
    <mergeCell ref="K1096:K1097"/>
    <mergeCell ref="M1096:M1097"/>
    <mergeCell ref="AC1093:AC1095"/>
    <mergeCell ref="B1094:B1095"/>
    <mergeCell ref="C1094:E1094"/>
    <mergeCell ref="F1094:G1094"/>
    <mergeCell ref="K1094:K1095"/>
    <mergeCell ref="M1094:M1095"/>
    <mergeCell ref="T1094:T1095"/>
    <mergeCell ref="AD1094:AD1095"/>
    <mergeCell ref="C1095:E1095"/>
    <mergeCell ref="F1095:G1095"/>
    <mergeCell ref="Z1090:Z1092"/>
    <mergeCell ref="AA1090:AA1092"/>
    <mergeCell ref="AB1090:AB1092"/>
    <mergeCell ref="AC1090:AC1092"/>
    <mergeCell ref="AD1090:AD1091"/>
    <mergeCell ref="AE1090:AE1095"/>
    <mergeCell ref="C1091:E1091"/>
    <mergeCell ref="F1091:G1091"/>
    <mergeCell ref="B1092:B1093"/>
    <mergeCell ref="C1092:E1092"/>
    <mergeCell ref="F1092:G1092"/>
    <mergeCell ref="K1092:K1093"/>
    <mergeCell ref="M1092:M1093"/>
    <mergeCell ref="T1092:T1093"/>
    <mergeCell ref="AD1092:AD1093"/>
    <mergeCell ref="C1093:E1093"/>
    <mergeCell ref="F1093:G1093"/>
    <mergeCell ref="J1093:J1095"/>
    <mergeCell ref="N1093:O1095"/>
    <mergeCell ref="P1093:Q1095"/>
    <mergeCell ref="R1093:S1095"/>
    <mergeCell ref="Z1093:Z1095"/>
    <mergeCell ref="AA1093:AA1095"/>
    <mergeCell ref="AB1093:AB1095"/>
    <mergeCell ref="N1090:O1092"/>
    <mergeCell ref="P1090:Q1092"/>
    <mergeCell ref="R1090:S1092"/>
    <mergeCell ref="T1090:T1091"/>
    <mergeCell ref="U1090:U1095"/>
    <mergeCell ref="V1090:V1095"/>
    <mergeCell ref="W1090:W1095"/>
    <mergeCell ref="X1090:X1095"/>
    <mergeCell ref="Y1090:Y1095"/>
    <mergeCell ref="A1090:A1095"/>
    <mergeCell ref="B1090:B1091"/>
    <mergeCell ref="C1090:E1090"/>
    <mergeCell ref="F1090:G1090"/>
    <mergeCell ref="H1090:H1095"/>
    <mergeCell ref="J1090:J1092"/>
    <mergeCell ref="K1090:K1091"/>
    <mergeCell ref="M1090:M1091"/>
    <mergeCell ref="AC1099:AC1101"/>
    <mergeCell ref="B1100:B1101"/>
    <mergeCell ref="C1100:E1100"/>
    <mergeCell ref="F1100:G1100"/>
    <mergeCell ref="K1100:K1101"/>
    <mergeCell ref="M1086:M1087"/>
    <mergeCell ref="T1086:T1087"/>
    <mergeCell ref="AD1086:AD1087"/>
    <mergeCell ref="C1087:E1087"/>
    <mergeCell ref="F1087:G1087"/>
    <mergeCell ref="Z1082:Z1084"/>
    <mergeCell ref="AA1082:AA1084"/>
    <mergeCell ref="AB1082:AB1084"/>
    <mergeCell ref="AC1082:AC1084"/>
    <mergeCell ref="AD1082:AD1083"/>
    <mergeCell ref="AE1082:AE1087"/>
    <mergeCell ref="C1083:E1083"/>
    <mergeCell ref="F1083:G1083"/>
    <mergeCell ref="B1084:B1085"/>
    <mergeCell ref="C1084:E1084"/>
    <mergeCell ref="F1084:G1084"/>
    <mergeCell ref="K1084:K1085"/>
    <mergeCell ref="M1084:M1085"/>
    <mergeCell ref="T1084:T1085"/>
    <mergeCell ref="AD1084:AD1085"/>
    <mergeCell ref="C1085:E1085"/>
    <mergeCell ref="F1085:G1085"/>
    <mergeCell ref="J1085:J1087"/>
    <mergeCell ref="N1085:O1087"/>
    <mergeCell ref="P1085:Q1087"/>
    <mergeCell ref="R1085:S1087"/>
    <mergeCell ref="Z1085:Z1087"/>
    <mergeCell ref="AA1085:AA1087"/>
    <mergeCell ref="AB1085:AB1087"/>
    <mergeCell ref="N1082:O1084"/>
    <mergeCell ref="P1082:Q1084"/>
    <mergeCell ref="R1082:S1084"/>
    <mergeCell ref="T1082:T1083"/>
    <mergeCell ref="U1082:U1087"/>
    <mergeCell ref="V1082:V1087"/>
    <mergeCell ref="W1082:W1087"/>
    <mergeCell ref="X1082:X1087"/>
    <mergeCell ref="Y1082:Y1087"/>
    <mergeCell ref="A1082:A1087"/>
    <mergeCell ref="B1082:B1083"/>
    <mergeCell ref="C1082:E1082"/>
    <mergeCell ref="F1082:G1082"/>
    <mergeCell ref="H1082:H1087"/>
    <mergeCell ref="J1082:J1084"/>
    <mergeCell ref="K1082:K1083"/>
    <mergeCell ref="M1082:M1083"/>
    <mergeCell ref="AC1079:AC1081"/>
    <mergeCell ref="B1080:B1081"/>
    <mergeCell ref="C1080:E1080"/>
    <mergeCell ref="F1080:G1080"/>
    <mergeCell ref="K1080:K1081"/>
    <mergeCell ref="M1080:M1081"/>
    <mergeCell ref="T1080:T1081"/>
    <mergeCell ref="AD1080:AD1081"/>
    <mergeCell ref="C1081:E1081"/>
    <mergeCell ref="F1081:G1081"/>
    <mergeCell ref="Z1076:Z1078"/>
    <mergeCell ref="AA1076:AA1078"/>
    <mergeCell ref="AB1076:AB1078"/>
    <mergeCell ref="AC1076:AC1078"/>
    <mergeCell ref="AD1076:AD1077"/>
    <mergeCell ref="AE1076:AE1081"/>
    <mergeCell ref="C1077:E1077"/>
    <mergeCell ref="F1077:G1077"/>
    <mergeCell ref="B1078:B1079"/>
    <mergeCell ref="C1078:E1078"/>
    <mergeCell ref="F1078:G1078"/>
    <mergeCell ref="K1078:K1079"/>
    <mergeCell ref="M1078:M1079"/>
    <mergeCell ref="T1078:T1079"/>
    <mergeCell ref="AD1078:AD1079"/>
    <mergeCell ref="C1079:E1079"/>
    <mergeCell ref="F1079:G1079"/>
    <mergeCell ref="J1079:J1081"/>
    <mergeCell ref="N1079:O1081"/>
    <mergeCell ref="P1079:Q1081"/>
    <mergeCell ref="R1079:S1081"/>
    <mergeCell ref="Z1079:Z1081"/>
    <mergeCell ref="AA1079:AA1081"/>
    <mergeCell ref="AB1079:AB1081"/>
    <mergeCell ref="N1076:O1078"/>
    <mergeCell ref="P1076:Q1078"/>
    <mergeCell ref="R1076:S1078"/>
    <mergeCell ref="T1076:T1077"/>
    <mergeCell ref="U1076:U1081"/>
    <mergeCell ref="V1076:V1081"/>
    <mergeCell ref="W1076:W1081"/>
    <mergeCell ref="X1076:X1081"/>
    <mergeCell ref="Y1076:Y1081"/>
    <mergeCell ref="A1076:A1081"/>
    <mergeCell ref="B1076:B1077"/>
    <mergeCell ref="C1076:E1076"/>
    <mergeCell ref="F1076:G1076"/>
    <mergeCell ref="H1076:H1081"/>
    <mergeCell ref="J1076:J1078"/>
    <mergeCell ref="K1076:K1077"/>
    <mergeCell ref="M1076:M1077"/>
    <mergeCell ref="AC1085:AC1087"/>
    <mergeCell ref="B1086:B1087"/>
    <mergeCell ref="C1086:E1086"/>
    <mergeCell ref="F1086:G1086"/>
    <mergeCell ref="K1086:K1087"/>
    <mergeCell ref="M1074:M1075"/>
    <mergeCell ref="T1074:T1075"/>
    <mergeCell ref="AD1074:AD1075"/>
    <mergeCell ref="C1075:E1075"/>
    <mergeCell ref="F1075:G1075"/>
    <mergeCell ref="Z1070:Z1072"/>
    <mergeCell ref="AA1070:AA1072"/>
    <mergeCell ref="AB1070:AB1072"/>
    <mergeCell ref="AC1070:AC1072"/>
    <mergeCell ref="AD1070:AD1071"/>
    <mergeCell ref="AE1070:AE1075"/>
    <mergeCell ref="C1071:E1071"/>
    <mergeCell ref="F1071:G1071"/>
    <mergeCell ref="B1072:B1073"/>
    <mergeCell ref="C1072:E1072"/>
    <mergeCell ref="F1072:G1072"/>
    <mergeCell ref="K1072:K1073"/>
    <mergeCell ref="M1072:M1073"/>
    <mergeCell ref="T1072:T1073"/>
    <mergeCell ref="AD1072:AD1073"/>
    <mergeCell ref="C1073:E1073"/>
    <mergeCell ref="F1073:G1073"/>
    <mergeCell ref="J1073:J1075"/>
    <mergeCell ref="N1073:O1075"/>
    <mergeCell ref="P1073:Q1075"/>
    <mergeCell ref="R1073:S1075"/>
    <mergeCell ref="Z1073:Z1075"/>
    <mergeCell ref="AA1073:AA1075"/>
    <mergeCell ref="AB1073:AB1075"/>
    <mergeCell ref="N1070:O1072"/>
    <mergeCell ref="P1070:Q1072"/>
    <mergeCell ref="R1070:S1072"/>
    <mergeCell ref="T1070:T1071"/>
    <mergeCell ref="U1070:U1075"/>
    <mergeCell ref="V1070:V1075"/>
    <mergeCell ref="W1070:W1075"/>
    <mergeCell ref="X1070:X1075"/>
    <mergeCell ref="Y1070:Y1075"/>
    <mergeCell ref="A1070:A1075"/>
    <mergeCell ref="B1070:B1071"/>
    <mergeCell ref="C1070:E1070"/>
    <mergeCell ref="F1070:G1070"/>
    <mergeCell ref="H1070:H1075"/>
    <mergeCell ref="J1070:J1072"/>
    <mergeCell ref="K1070:K1071"/>
    <mergeCell ref="M1070:M1071"/>
    <mergeCell ref="AC1067:AC1069"/>
    <mergeCell ref="B1068:B1069"/>
    <mergeCell ref="C1068:E1068"/>
    <mergeCell ref="F1068:G1068"/>
    <mergeCell ref="K1068:K1069"/>
    <mergeCell ref="M1068:M1069"/>
    <mergeCell ref="T1068:T1069"/>
    <mergeCell ref="AD1068:AD1069"/>
    <mergeCell ref="C1069:E1069"/>
    <mergeCell ref="F1069:G1069"/>
    <mergeCell ref="Z1064:Z1066"/>
    <mergeCell ref="AA1064:AA1066"/>
    <mergeCell ref="AB1064:AB1066"/>
    <mergeCell ref="AC1064:AC1066"/>
    <mergeCell ref="AD1064:AD1065"/>
    <mergeCell ref="AE1064:AE1069"/>
    <mergeCell ref="C1065:E1065"/>
    <mergeCell ref="F1065:G1065"/>
    <mergeCell ref="B1066:B1067"/>
    <mergeCell ref="C1066:E1066"/>
    <mergeCell ref="F1066:G1066"/>
    <mergeCell ref="K1066:K1067"/>
    <mergeCell ref="M1066:M1067"/>
    <mergeCell ref="T1066:T1067"/>
    <mergeCell ref="AD1066:AD1067"/>
    <mergeCell ref="C1067:E1067"/>
    <mergeCell ref="F1067:G1067"/>
    <mergeCell ref="J1067:J1069"/>
    <mergeCell ref="N1067:O1069"/>
    <mergeCell ref="P1067:Q1069"/>
    <mergeCell ref="R1067:S1069"/>
    <mergeCell ref="Z1067:Z1069"/>
    <mergeCell ref="AA1067:AA1069"/>
    <mergeCell ref="AB1067:AB1069"/>
    <mergeCell ref="N1064:O1066"/>
    <mergeCell ref="P1064:Q1066"/>
    <mergeCell ref="R1064:S1066"/>
    <mergeCell ref="T1064:T1065"/>
    <mergeCell ref="U1064:U1069"/>
    <mergeCell ref="V1064:V1069"/>
    <mergeCell ref="W1064:W1069"/>
    <mergeCell ref="X1064:X1069"/>
    <mergeCell ref="Y1064:Y1069"/>
    <mergeCell ref="A1064:A1069"/>
    <mergeCell ref="B1064:B1065"/>
    <mergeCell ref="C1064:E1064"/>
    <mergeCell ref="F1064:G1064"/>
    <mergeCell ref="H1064:H1069"/>
    <mergeCell ref="J1064:J1066"/>
    <mergeCell ref="K1064:K1065"/>
    <mergeCell ref="M1064:M1065"/>
    <mergeCell ref="AC1073:AC1075"/>
    <mergeCell ref="B1074:B1075"/>
    <mergeCell ref="C1074:E1074"/>
    <mergeCell ref="F1074:G1074"/>
    <mergeCell ref="K1074:K1075"/>
    <mergeCell ref="M1062:M1063"/>
    <mergeCell ref="T1062:T1063"/>
    <mergeCell ref="AD1062:AD1063"/>
    <mergeCell ref="C1063:E1063"/>
    <mergeCell ref="F1063:G1063"/>
    <mergeCell ref="Z1058:Z1060"/>
    <mergeCell ref="AA1058:AA1060"/>
    <mergeCell ref="AB1058:AB1060"/>
    <mergeCell ref="AC1058:AC1060"/>
    <mergeCell ref="AD1058:AD1059"/>
    <mergeCell ref="AE1058:AE1063"/>
    <mergeCell ref="C1059:E1059"/>
    <mergeCell ref="F1059:G1059"/>
    <mergeCell ref="B1060:B1061"/>
    <mergeCell ref="C1060:E1060"/>
    <mergeCell ref="F1060:G1060"/>
    <mergeCell ref="K1060:K1061"/>
    <mergeCell ref="M1060:M1061"/>
    <mergeCell ref="T1060:T1061"/>
    <mergeCell ref="AD1060:AD1061"/>
    <mergeCell ref="C1061:E1061"/>
    <mergeCell ref="F1061:G1061"/>
    <mergeCell ref="J1061:J1063"/>
    <mergeCell ref="N1061:O1063"/>
    <mergeCell ref="P1061:Q1063"/>
    <mergeCell ref="R1061:S1063"/>
    <mergeCell ref="Z1061:Z1063"/>
    <mergeCell ref="AA1061:AA1063"/>
    <mergeCell ref="AB1061:AB1063"/>
    <mergeCell ref="N1058:O1060"/>
    <mergeCell ref="P1058:Q1060"/>
    <mergeCell ref="R1058:S1060"/>
    <mergeCell ref="T1058:T1059"/>
    <mergeCell ref="U1058:U1063"/>
    <mergeCell ref="V1058:V1063"/>
    <mergeCell ref="W1058:W1063"/>
    <mergeCell ref="X1058:X1063"/>
    <mergeCell ref="Y1058:Y1063"/>
    <mergeCell ref="A1058:A1063"/>
    <mergeCell ref="B1058:B1059"/>
    <mergeCell ref="C1058:E1058"/>
    <mergeCell ref="F1058:G1058"/>
    <mergeCell ref="H1058:H1063"/>
    <mergeCell ref="J1058:J1060"/>
    <mergeCell ref="K1058:K1059"/>
    <mergeCell ref="M1058:M1059"/>
    <mergeCell ref="AC1053:AC1055"/>
    <mergeCell ref="B1054:B1055"/>
    <mergeCell ref="C1054:E1054"/>
    <mergeCell ref="F1054:G1054"/>
    <mergeCell ref="K1054:K1055"/>
    <mergeCell ref="M1054:M1055"/>
    <mergeCell ref="T1054:T1055"/>
    <mergeCell ref="AD1054:AD1055"/>
    <mergeCell ref="C1055:E1055"/>
    <mergeCell ref="F1055:G1055"/>
    <mergeCell ref="Z1050:Z1052"/>
    <mergeCell ref="AA1050:AA1052"/>
    <mergeCell ref="AB1050:AB1052"/>
    <mergeCell ref="AC1050:AC1052"/>
    <mergeCell ref="AD1050:AD1051"/>
    <mergeCell ref="AE1050:AE1055"/>
    <mergeCell ref="C1051:E1051"/>
    <mergeCell ref="F1051:G1051"/>
    <mergeCell ref="B1052:B1053"/>
    <mergeCell ref="C1052:E1052"/>
    <mergeCell ref="F1052:G1052"/>
    <mergeCell ref="K1052:K1053"/>
    <mergeCell ref="M1052:M1053"/>
    <mergeCell ref="T1052:T1053"/>
    <mergeCell ref="AD1052:AD1053"/>
    <mergeCell ref="C1053:E1053"/>
    <mergeCell ref="F1053:G1053"/>
    <mergeCell ref="J1053:J1055"/>
    <mergeCell ref="N1053:O1055"/>
    <mergeCell ref="P1053:Q1055"/>
    <mergeCell ref="R1053:S1055"/>
    <mergeCell ref="Z1053:Z1055"/>
    <mergeCell ref="AA1053:AA1055"/>
    <mergeCell ref="AB1053:AB1055"/>
    <mergeCell ref="N1050:O1052"/>
    <mergeCell ref="P1050:Q1052"/>
    <mergeCell ref="R1050:S1052"/>
    <mergeCell ref="T1050:T1051"/>
    <mergeCell ref="U1050:U1055"/>
    <mergeCell ref="V1050:V1055"/>
    <mergeCell ref="W1050:W1055"/>
    <mergeCell ref="X1050:X1055"/>
    <mergeCell ref="Y1050:Y1055"/>
    <mergeCell ref="A1050:A1055"/>
    <mergeCell ref="B1050:B1051"/>
    <mergeCell ref="C1050:E1050"/>
    <mergeCell ref="F1050:G1050"/>
    <mergeCell ref="H1050:H1055"/>
    <mergeCell ref="J1050:J1052"/>
    <mergeCell ref="K1050:K1051"/>
    <mergeCell ref="M1050:M1051"/>
    <mergeCell ref="AC1061:AC1063"/>
    <mergeCell ref="B1062:B1063"/>
    <mergeCell ref="C1062:E1062"/>
    <mergeCell ref="F1062:G1062"/>
    <mergeCell ref="K1062:K1063"/>
    <mergeCell ref="M1048:M1049"/>
    <mergeCell ref="T1048:T1049"/>
    <mergeCell ref="AD1048:AD1049"/>
    <mergeCell ref="C1049:E1049"/>
    <mergeCell ref="F1049:G1049"/>
    <mergeCell ref="Z1044:Z1046"/>
    <mergeCell ref="AA1044:AA1046"/>
    <mergeCell ref="AB1044:AB1046"/>
    <mergeCell ref="AC1044:AC1046"/>
    <mergeCell ref="AD1044:AD1045"/>
    <mergeCell ref="AE1044:AE1049"/>
    <mergeCell ref="C1045:E1045"/>
    <mergeCell ref="F1045:G1045"/>
    <mergeCell ref="B1046:B1047"/>
    <mergeCell ref="C1046:E1046"/>
    <mergeCell ref="F1046:G1046"/>
    <mergeCell ref="K1046:K1047"/>
    <mergeCell ref="M1046:M1047"/>
    <mergeCell ref="T1046:T1047"/>
    <mergeCell ref="AD1046:AD1047"/>
    <mergeCell ref="C1047:E1047"/>
    <mergeCell ref="F1047:G1047"/>
    <mergeCell ref="J1047:J1049"/>
    <mergeCell ref="N1047:O1049"/>
    <mergeCell ref="P1047:Q1049"/>
    <mergeCell ref="R1047:S1049"/>
    <mergeCell ref="Z1047:Z1049"/>
    <mergeCell ref="AA1047:AA1049"/>
    <mergeCell ref="AB1047:AB1049"/>
    <mergeCell ref="N1044:O1046"/>
    <mergeCell ref="P1044:Q1046"/>
    <mergeCell ref="R1044:S1046"/>
    <mergeCell ref="T1044:T1045"/>
    <mergeCell ref="U1044:U1049"/>
    <mergeCell ref="V1044:V1049"/>
    <mergeCell ref="W1044:W1049"/>
    <mergeCell ref="X1044:X1049"/>
    <mergeCell ref="Y1044:Y1049"/>
    <mergeCell ref="A1044:A1049"/>
    <mergeCell ref="B1044:B1045"/>
    <mergeCell ref="C1044:E1044"/>
    <mergeCell ref="F1044:G1044"/>
    <mergeCell ref="H1044:H1049"/>
    <mergeCell ref="J1044:J1046"/>
    <mergeCell ref="K1044:K1045"/>
    <mergeCell ref="M1044:M1045"/>
    <mergeCell ref="AC1041:AC1043"/>
    <mergeCell ref="B1042:B1043"/>
    <mergeCell ref="C1042:E1042"/>
    <mergeCell ref="F1042:G1042"/>
    <mergeCell ref="K1042:K1043"/>
    <mergeCell ref="M1042:M1043"/>
    <mergeCell ref="T1042:T1043"/>
    <mergeCell ref="AD1042:AD1043"/>
    <mergeCell ref="C1043:E1043"/>
    <mergeCell ref="F1043:G1043"/>
    <mergeCell ref="Z1038:Z1040"/>
    <mergeCell ref="AA1038:AA1040"/>
    <mergeCell ref="AB1038:AB1040"/>
    <mergeCell ref="AC1038:AC1040"/>
    <mergeCell ref="AD1038:AD1039"/>
    <mergeCell ref="AE1038:AE1043"/>
    <mergeCell ref="C1039:E1039"/>
    <mergeCell ref="F1039:G1039"/>
    <mergeCell ref="B1040:B1041"/>
    <mergeCell ref="C1040:E1040"/>
    <mergeCell ref="F1040:G1040"/>
    <mergeCell ref="K1040:K1041"/>
    <mergeCell ref="M1040:M1041"/>
    <mergeCell ref="T1040:T1041"/>
    <mergeCell ref="AD1040:AD1041"/>
    <mergeCell ref="C1041:E1041"/>
    <mergeCell ref="F1041:G1041"/>
    <mergeCell ref="J1041:J1043"/>
    <mergeCell ref="N1041:O1043"/>
    <mergeCell ref="P1041:Q1043"/>
    <mergeCell ref="R1041:S1043"/>
    <mergeCell ref="Z1041:Z1043"/>
    <mergeCell ref="AA1041:AA1043"/>
    <mergeCell ref="AB1041:AB1043"/>
    <mergeCell ref="N1038:O1040"/>
    <mergeCell ref="P1038:Q1040"/>
    <mergeCell ref="R1038:S1040"/>
    <mergeCell ref="T1038:T1039"/>
    <mergeCell ref="U1038:U1043"/>
    <mergeCell ref="V1038:V1043"/>
    <mergeCell ref="W1038:W1043"/>
    <mergeCell ref="X1038:X1043"/>
    <mergeCell ref="Y1038:Y1043"/>
    <mergeCell ref="A1038:A1043"/>
    <mergeCell ref="B1038:B1039"/>
    <mergeCell ref="C1038:E1038"/>
    <mergeCell ref="F1038:G1038"/>
    <mergeCell ref="H1038:H1043"/>
    <mergeCell ref="J1038:J1040"/>
    <mergeCell ref="K1038:K1039"/>
    <mergeCell ref="M1038:M1039"/>
    <mergeCell ref="AC1047:AC1049"/>
    <mergeCell ref="B1048:B1049"/>
    <mergeCell ref="C1048:E1048"/>
    <mergeCell ref="F1048:G1048"/>
    <mergeCell ref="K1048:K1049"/>
    <mergeCell ref="M1036:M1037"/>
    <mergeCell ref="T1036:T1037"/>
    <mergeCell ref="AD1036:AD1037"/>
    <mergeCell ref="C1037:E1037"/>
    <mergeCell ref="F1037:G1037"/>
    <mergeCell ref="Z1032:Z1034"/>
    <mergeCell ref="AA1032:AA1034"/>
    <mergeCell ref="AB1032:AB1034"/>
    <mergeCell ref="AC1032:AC1034"/>
    <mergeCell ref="AD1032:AD1033"/>
    <mergeCell ref="AE1032:AE1037"/>
    <mergeCell ref="C1033:E1033"/>
    <mergeCell ref="F1033:G1033"/>
    <mergeCell ref="B1034:B1035"/>
    <mergeCell ref="C1034:E1034"/>
    <mergeCell ref="F1034:G1034"/>
    <mergeCell ref="K1034:K1035"/>
    <mergeCell ref="M1034:M1035"/>
    <mergeCell ref="T1034:T1035"/>
    <mergeCell ref="AD1034:AD1035"/>
    <mergeCell ref="C1035:E1035"/>
    <mergeCell ref="F1035:G1035"/>
    <mergeCell ref="J1035:J1037"/>
    <mergeCell ref="N1035:O1037"/>
    <mergeCell ref="P1035:Q1037"/>
    <mergeCell ref="R1035:S1037"/>
    <mergeCell ref="Z1035:Z1037"/>
    <mergeCell ref="AA1035:AA1037"/>
    <mergeCell ref="AB1035:AB1037"/>
    <mergeCell ref="N1032:O1034"/>
    <mergeCell ref="P1032:Q1034"/>
    <mergeCell ref="R1032:S1034"/>
    <mergeCell ref="T1032:T1033"/>
    <mergeCell ref="U1032:U1037"/>
    <mergeCell ref="V1032:V1037"/>
    <mergeCell ref="W1032:W1037"/>
    <mergeCell ref="X1032:X1037"/>
    <mergeCell ref="Y1032:Y1037"/>
    <mergeCell ref="A1032:A1037"/>
    <mergeCell ref="B1032:B1033"/>
    <mergeCell ref="C1032:E1032"/>
    <mergeCell ref="F1032:G1032"/>
    <mergeCell ref="H1032:H1037"/>
    <mergeCell ref="J1032:J1034"/>
    <mergeCell ref="K1032:K1033"/>
    <mergeCell ref="M1032:M1033"/>
    <mergeCell ref="AC1029:AC1031"/>
    <mergeCell ref="B1030:B1031"/>
    <mergeCell ref="C1030:E1030"/>
    <mergeCell ref="F1030:G1030"/>
    <mergeCell ref="K1030:K1031"/>
    <mergeCell ref="M1030:M1031"/>
    <mergeCell ref="T1030:T1031"/>
    <mergeCell ref="AD1030:AD1031"/>
    <mergeCell ref="C1031:E1031"/>
    <mergeCell ref="F1031:G1031"/>
    <mergeCell ref="Z1026:Z1028"/>
    <mergeCell ref="AA1026:AA1028"/>
    <mergeCell ref="AB1026:AB1028"/>
    <mergeCell ref="AC1026:AC1028"/>
    <mergeCell ref="AD1026:AD1027"/>
    <mergeCell ref="AE1026:AE1031"/>
    <mergeCell ref="C1027:E1027"/>
    <mergeCell ref="F1027:G1027"/>
    <mergeCell ref="B1028:B1029"/>
    <mergeCell ref="C1028:E1028"/>
    <mergeCell ref="F1028:G1028"/>
    <mergeCell ref="K1028:K1029"/>
    <mergeCell ref="M1028:M1029"/>
    <mergeCell ref="T1028:T1029"/>
    <mergeCell ref="AD1028:AD1029"/>
    <mergeCell ref="C1029:E1029"/>
    <mergeCell ref="F1029:G1029"/>
    <mergeCell ref="J1029:J1031"/>
    <mergeCell ref="N1029:O1031"/>
    <mergeCell ref="P1029:Q1031"/>
    <mergeCell ref="R1029:S1031"/>
    <mergeCell ref="Z1029:Z1031"/>
    <mergeCell ref="AA1029:AA1031"/>
    <mergeCell ref="AB1029:AB1031"/>
    <mergeCell ref="N1026:O1028"/>
    <mergeCell ref="P1026:Q1028"/>
    <mergeCell ref="R1026:S1028"/>
    <mergeCell ref="T1026:T1027"/>
    <mergeCell ref="U1026:U1031"/>
    <mergeCell ref="V1026:V1031"/>
    <mergeCell ref="W1026:W1031"/>
    <mergeCell ref="X1026:X1031"/>
    <mergeCell ref="Y1026:Y1031"/>
    <mergeCell ref="A1026:A1031"/>
    <mergeCell ref="B1026:B1027"/>
    <mergeCell ref="C1026:E1026"/>
    <mergeCell ref="F1026:G1026"/>
    <mergeCell ref="H1026:H1031"/>
    <mergeCell ref="J1026:J1028"/>
    <mergeCell ref="K1026:K1027"/>
    <mergeCell ref="M1026:M1027"/>
    <mergeCell ref="AC1035:AC1037"/>
    <mergeCell ref="B1036:B1037"/>
    <mergeCell ref="C1036:E1036"/>
    <mergeCell ref="F1036:G1036"/>
    <mergeCell ref="K1036:K1037"/>
    <mergeCell ref="M1022:M1023"/>
    <mergeCell ref="T1022:T1023"/>
    <mergeCell ref="AD1022:AD1023"/>
    <mergeCell ref="C1023:E1023"/>
    <mergeCell ref="F1023:G1023"/>
    <mergeCell ref="Z1018:Z1020"/>
    <mergeCell ref="AA1018:AA1020"/>
    <mergeCell ref="AB1018:AB1020"/>
    <mergeCell ref="AC1018:AC1020"/>
    <mergeCell ref="AD1018:AD1019"/>
    <mergeCell ref="AE1018:AE1023"/>
    <mergeCell ref="C1019:E1019"/>
    <mergeCell ref="F1019:G1019"/>
    <mergeCell ref="B1020:B1021"/>
    <mergeCell ref="C1020:E1020"/>
    <mergeCell ref="F1020:G1020"/>
    <mergeCell ref="K1020:K1021"/>
    <mergeCell ref="M1020:M1021"/>
    <mergeCell ref="T1020:T1021"/>
    <mergeCell ref="AD1020:AD1021"/>
    <mergeCell ref="C1021:E1021"/>
    <mergeCell ref="F1021:G1021"/>
    <mergeCell ref="J1021:J1023"/>
    <mergeCell ref="N1021:O1023"/>
    <mergeCell ref="P1021:Q1023"/>
    <mergeCell ref="R1021:S1023"/>
    <mergeCell ref="Z1021:Z1023"/>
    <mergeCell ref="AA1021:AA1023"/>
    <mergeCell ref="AB1021:AB1023"/>
    <mergeCell ref="N1018:O1020"/>
    <mergeCell ref="P1018:Q1020"/>
    <mergeCell ref="R1018:S1020"/>
    <mergeCell ref="T1018:T1019"/>
    <mergeCell ref="U1018:U1023"/>
    <mergeCell ref="V1018:V1023"/>
    <mergeCell ref="W1018:W1023"/>
    <mergeCell ref="X1018:X1023"/>
    <mergeCell ref="Y1018:Y1023"/>
    <mergeCell ref="A1018:A1023"/>
    <mergeCell ref="B1018:B1019"/>
    <mergeCell ref="C1018:E1018"/>
    <mergeCell ref="F1018:G1018"/>
    <mergeCell ref="H1018:H1023"/>
    <mergeCell ref="J1018:J1020"/>
    <mergeCell ref="K1018:K1019"/>
    <mergeCell ref="M1018:M1019"/>
    <mergeCell ref="AC1015:AC1017"/>
    <mergeCell ref="B1016:B1017"/>
    <mergeCell ref="C1016:E1016"/>
    <mergeCell ref="F1016:G1016"/>
    <mergeCell ref="K1016:K1017"/>
    <mergeCell ref="M1016:M1017"/>
    <mergeCell ref="T1016:T1017"/>
    <mergeCell ref="AD1016:AD1017"/>
    <mergeCell ref="C1017:E1017"/>
    <mergeCell ref="F1017:G1017"/>
    <mergeCell ref="Z1012:Z1014"/>
    <mergeCell ref="AA1012:AA1014"/>
    <mergeCell ref="AB1012:AB1014"/>
    <mergeCell ref="AC1012:AC1014"/>
    <mergeCell ref="AD1012:AD1013"/>
    <mergeCell ref="AE1012:AE1017"/>
    <mergeCell ref="C1013:E1013"/>
    <mergeCell ref="F1013:G1013"/>
    <mergeCell ref="B1014:B1015"/>
    <mergeCell ref="C1014:E1014"/>
    <mergeCell ref="F1014:G1014"/>
    <mergeCell ref="K1014:K1015"/>
    <mergeCell ref="M1014:M1015"/>
    <mergeCell ref="T1014:T1015"/>
    <mergeCell ref="AD1014:AD1015"/>
    <mergeCell ref="C1015:E1015"/>
    <mergeCell ref="F1015:G1015"/>
    <mergeCell ref="J1015:J1017"/>
    <mergeCell ref="N1015:O1017"/>
    <mergeCell ref="P1015:Q1017"/>
    <mergeCell ref="R1015:S1017"/>
    <mergeCell ref="Z1015:Z1017"/>
    <mergeCell ref="AA1015:AA1017"/>
    <mergeCell ref="AB1015:AB1017"/>
    <mergeCell ref="N1012:O1014"/>
    <mergeCell ref="P1012:Q1014"/>
    <mergeCell ref="R1012:S1014"/>
    <mergeCell ref="T1012:T1013"/>
    <mergeCell ref="U1012:U1017"/>
    <mergeCell ref="V1012:V1017"/>
    <mergeCell ref="W1012:W1017"/>
    <mergeCell ref="X1012:X1017"/>
    <mergeCell ref="Y1012:Y1017"/>
    <mergeCell ref="A1012:A1017"/>
    <mergeCell ref="B1012:B1013"/>
    <mergeCell ref="C1012:E1012"/>
    <mergeCell ref="F1012:G1012"/>
    <mergeCell ref="H1012:H1017"/>
    <mergeCell ref="J1012:J1014"/>
    <mergeCell ref="K1012:K1013"/>
    <mergeCell ref="M1012:M1013"/>
    <mergeCell ref="AC1021:AC1023"/>
    <mergeCell ref="B1022:B1023"/>
    <mergeCell ref="C1022:E1022"/>
    <mergeCell ref="F1022:G1022"/>
    <mergeCell ref="K1022:K1023"/>
    <mergeCell ref="M1010:M1011"/>
    <mergeCell ref="T1010:T1011"/>
    <mergeCell ref="AD1010:AD1011"/>
    <mergeCell ref="C1011:E1011"/>
    <mergeCell ref="F1011:G1011"/>
    <mergeCell ref="Z1006:Z1008"/>
    <mergeCell ref="AA1006:AA1008"/>
    <mergeCell ref="AB1006:AB1008"/>
    <mergeCell ref="AC1006:AC1008"/>
    <mergeCell ref="AD1006:AD1007"/>
    <mergeCell ref="AE1006:AE1011"/>
    <mergeCell ref="C1007:E1007"/>
    <mergeCell ref="F1007:G1007"/>
    <mergeCell ref="B1008:B1009"/>
    <mergeCell ref="C1008:E1008"/>
    <mergeCell ref="F1008:G1008"/>
    <mergeCell ref="K1008:K1009"/>
    <mergeCell ref="M1008:M1009"/>
    <mergeCell ref="T1008:T1009"/>
    <mergeCell ref="AD1008:AD1009"/>
    <mergeCell ref="C1009:E1009"/>
    <mergeCell ref="F1009:G1009"/>
    <mergeCell ref="J1009:J1011"/>
    <mergeCell ref="N1009:O1011"/>
    <mergeCell ref="P1009:Q1011"/>
    <mergeCell ref="R1009:S1011"/>
    <mergeCell ref="Z1009:Z1011"/>
    <mergeCell ref="AA1009:AA1011"/>
    <mergeCell ref="AB1009:AB1011"/>
    <mergeCell ref="N1006:O1008"/>
    <mergeCell ref="P1006:Q1008"/>
    <mergeCell ref="R1006:S1008"/>
    <mergeCell ref="T1006:T1007"/>
    <mergeCell ref="U1006:U1011"/>
    <mergeCell ref="V1006:V1011"/>
    <mergeCell ref="W1006:W1011"/>
    <mergeCell ref="X1006:X1011"/>
    <mergeCell ref="Y1006:Y1011"/>
    <mergeCell ref="I1006:I1008"/>
    <mergeCell ref="I1009:I1011"/>
    <mergeCell ref="A1006:A1011"/>
    <mergeCell ref="B1006:B1007"/>
    <mergeCell ref="C1006:E1006"/>
    <mergeCell ref="F1006:G1006"/>
    <mergeCell ref="H1006:H1011"/>
    <mergeCell ref="J1006:J1008"/>
    <mergeCell ref="K1006:K1007"/>
    <mergeCell ref="M1006:M1007"/>
    <mergeCell ref="AC1003:AC1005"/>
    <mergeCell ref="B1004:B1005"/>
    <mergeCell ref="C1004:E1004"/>
    <mergeCell ref="F1004:G1004"/>
    <mergeCell ref="K1004:K1005"/>
    <mergeCell ref="M1004:M1005"/>
    <mergeCell ref="T1004:T1005"/>
    <mergeCell ref="AD1004:AD1005"/>
    <mergeCell ref="C1005:E1005"/>
    <mergeCell ref="F1005:G1005"/>
    <mergeCell ref="Z1000:Z1002"/>
    <mergeCell ref="AA1000:AA1002"/>
    <mergeCell ref="AB1000:AB1002"/>
    <mergeCell ref="AC1000:AC1002"/>
    <mergeCell ref="AD1000:AD1001"/>
    <mergeCell ref="AE1000:AE1005"/>
    <mergeCell ref="C1001:E1001"/>
    <mergeCell ref="F1001:G1001"/>
    <mergeCell ref="B1002:B1003"/>
    <mergeCell ref="C1002:E1002"/>
    <mergeCell ref="F1002:G1002"/>
    <mergeCell ref="K1002:K1003"/>
    <mergeCell ref="M1002:M1003"/>
    <mergeCell ref="T1002:T1003"/>
    <mergeCell ref="AD1002:AD1003"/>
    <mergeCell ref="C1003:E1003"/>
    <mergeCell ref="F1003:G1003"/>
    <mergeCell ref="J1003:J1005"/>
    <mergeCell ref="N1003:O1005"/>
    <mergeCell ref="P1003:Q1005"/>
    <mergeCell ref="R1003:S1005"/>
    <mergeCell ref="Z1003:Z1005"/>
    <mergeCell ref="AA1003:AA1005"/>
    <mergeCell ref="AB1003:AB1005"/>
    <mergeCell ref="N1000:O1002"/>
    <mergeCell ref="P1000:Q1002"/>
    <mergeCell ref="R1000:S1002"/>
    <mergeCell ref="T1000:T1001"/>
    <mergeCell ref="U1000:U1005"/>
    <mergeCell ref="V1000:V1005"/>
    <mergeCell ref="W1000:W1005"/>
    <mergeCell ref="X1000:X1005"/>
    <mergeCell ref="Y1000:Y1005"/>
    <mergeCell ref="A1000:A1005"/>
    <mergeCell ref="B1000:B1001"/>
    <mergeCell ref="C1000:E1000"/>
    <mergeCell ref="F1000:G1000"/>
    <mergeCell ref="H1000:H1005"/>
    <mergeCell ref="J1000:J1002"/>
    <mergeCell ref="K1000:K1001"/>
    <mergeCell ref="M1000:M1001"/>
    <mergeCell ref="AC1009:AC1011"/>
    <mergeCell ref="B1010:B1011"/>
    <mergeCell ref="C1010:E1010"/>
    <mergeCell ref="F1010:G1010"/>
    <mergeCell ref="K1010:K1011"/>
    <mergeCell ref="M998:M999"/>
    <mergeCell ref="T998:T999"/>
    <mergeCell ref="AD998:AD999"/>
    <mergeCell ref="C999:E999"/>
    <mergeCell ref="F999:G999"/>
    <mergeCell ref="Z994:Z996"/>
    <mergeCell ref="AA994:AA996"/>
    <mergeCell ref="AB994:AB996"/>
    <mergeCell ref="AC994:AC996"/>
    <mergeCell ref="AD994:AD995"/>
    <mergeCell ref="AE994:AE999"/>
    <mergeCell ref="C995:E995"/>
    <mergeCell ref="F995:G995"/>
    <mergeCell ref="B996:B997"/>
    <mergeCell ref="C996:E996"/>
    <mergeCell ref="F996:G996"/>
    <mergeCell ref="K996:K997"/>
    <mergeCell ref="M996:M997"/>
    <mergeCell ref="T996:T997"/>
    <mergeCell ref="AD996:AD997"/>
    <mergeCell ref="C997:E997"/>
    <mergeCell ref="F997:G997"/>
    <mergeCell ref="J997:J999"/>
    <mergeCell ref="N997:O999"/>
    <mergeCell ref="P997:Q999"/>
    <mergeCell ref="R997:S999"/>
    <mergeCell ref="Z997:Z999"/>
    <mergeCell ref="AA997:AA999"/>
    <mergeCell ref="AB997:AB999"/>
    <mergeCell ref="N994:O996"/>
    <mergeCell ref="P994:Q996"/>
    <mergeCell ref="R994:S996"/>
    <mergeCell ref="T994:T995"/>
    <mergeCell ref="U994:U999"/>
    <mergeCell ref="V994:V999"/>
    <mergeCell ref="W994:W999"/>
    <mergeCell ref="X994:X999"/>
    <mergeCell ref="Y994:Y999"/>
    <mergeCell ref="A994:A999"/>
    <mergeCell ref="B994:B995"/>
    <mergeCell ref="C994:E994"/>
    <mergeCell ref="F994:G994"/>
    <mergeCell ref="H994:H999"/>
    <mergeCell ref="J994:J996"/>
    <mergeCell ref="K994:K995"/>
    <mergeCell ref="M994:M995"/>
    <mergeCell ref="AC989:AC991"/>
    <mergeCell ref="B990:B991"/>
    <mergeCell ref="C990:E990"/>
    <mergeCell ref="F990:G990"/>
    <mergeCell ref="K990:K991"/>
    <mergeCell ref="M990:M991"/>
    <mergeCell ref="T990:T991"/>
    <mergeCell ref="AD990:AD991"/>
    <mergeCell ref="C991:E991"/>
    <mergeCell ref="F991:G991"/>
    <mergeCell ref="Z986:Z988"/>
    <mergeCell ref="AA986:AA988"/>
    <mergeCell ref="AB986:AB988"/>
    <mergeCell ref="AC986:AC988"/>
    <mergeCell ref="AD986:AD987"/>
    <mergeCell ref="AE986:AE991"/>
    <mergeCell ref="C987:E987"/>
    <mergeCell ref="F987:G987"/>
    <mergeCell ref="B988:B989"/>
    <mergeCell ref="C988:E988"/>
    <mergeCell ref="F988:G988"/>
    <mergeCell ref="K988:K989"/>
    <mergeCell ref="M988:M989"/>
    <mergeCell ref="T988:T989"/>
    <mergeCell ref="AD988:AD989"/>
    <mergeCell ref="C989:E989"/>
    <mergeCell ref="F989:G989"/>
    <mergeCell ref="J989:J991"/>
    <mergeCell ref="N989:O991"/>
    <mergeCell ref="P989:Q991"/>
    <mergeCell ref="R989:S991"/>
    <mergeCell ref="Z989:Z991"/>
    <mergeCell ref="AA989:AA991"/>
    <mergeCell ref="AB989:AB991"/>
    <mergeCell ref="N986:O988"/>
    <mergeCell ref="P986:Q988"/>
    <mergeCell ref="R986:S988"/>
    <mergeCell ref="T986:T987"/>
    <mergeCell ref="U986:U991"/>
    <mergeCell ref="V986:V991"/>
    <mergeCell ref="W986:W991"/>
    <mergeCell ref="X986:X991"/>
    <mergeCell ref="Y986:Y991"/>
    <mergeCell ref="A986:A991"/>
    <mergeCell ref="B986:B987"/>
    <mergeCell ref="C986:E986"/>
    <mergeCell ref="F986:G986"/>
    <mergeCell ref="H986:H991"/>
    <mergeCell ref="J986:J988"/>
    <mergeCell ref="K986:K987"/>
    <mergeCell ref="M986:M987"/>
    <mergeCell ref="AC997:AC999"/>
    <mergeCell ref="B998:B999"/>
    <mergeCell ref="C998:E998"/>
    <mergeCell ref="F998:G998"/>
    <mergeCell ref="K998:K999"/>
    <mergeCell ref="M984:M985"/>
    <mergeCell ref="T984:T985"/>
    <mergeCell ref="AD984:AD985"/>
    <mergeCell ref="C985:E985"/>
    <mergeCell ref="F985:G985"/>
    <mergeCell ref="Z980:Z982"/>
    <mergeCell ref="AA980:AA982"/>
    <mergeCell ref="AB980:AB982"/>
    <mergeCell ref="AC980:AC982"/>
    <mergeCell ref="AD980:AD981"/>
    <mergeCell ref="AE980:AE985"/>
    <mergeCell ref="C981:E981"/>
    <mergeCell ref="F981:G981"/>
    <mergeCell ref="B982:B983"/>
    <mergeCell ref="C982:E982"/>
    <mergeCell ref="F982:G982"/>
    <mergeCell ref="K982:K983"/>
    <mergeCell ref="M982:M983"/>
    <mergeCell ref="T982:T983"/>
    <mergeCell ref="AD982:AD983"/>
    <mergeCell ref="C983:E983"/>
    <mergeCell ref="F983:G983"/>
    <mergeCell ref="J983:J985"/>
    <mergeCell ref="N983:O985"/>
    <mergeCell ref="P983:Q985"/>
    <mergeCell ref="R983:S985"/>
    <mergeCell ref="Z983:Z985"/>
    <mergeCell ref="AA983:AA985"/>
    <mergeCell ref="AB983:AB985"/>
    <mergeCell ref="N980:O982"/>
    <mergeCell ref="P980:Q982"/>
    <mergeCell ref="R980:S982"/>
    <mergeCell ref="T980:T981"/>
    <mergeCell ref="U980:U985"/>
    <mergeCell ref="V980:V985"/>
    <mergeCell ref="W980:W985"/>
    <mergeCell ref="X980:X985"/>
    <mergeCell ref="Y980:Y985"/>
    <mergeCell ref="A980:A985"/>
    <mergeCell ref="B980:B981"/>
    <mergeCell ref="C980:E980"/>
    <mergeCell ref="F980:G980"/>
    <mergeCell ref="H980:H985"/>
    <mergeCell ref="J980:J982"/>
    <mergeCell ref="K980:K981"/>
    <mergeCell ref="M980:M981"/>
    <mergeCell ref="AC977:AC979"/>
    <mergeCell ref="B978:B979"/>
    <mergeCell ref="C978:E978"/>
    <mergeCell ref="F978:G978"/>
    <mergeCell ref="K978:K979"/>
    <mergeCell ref="M978:M979"/>
    <mergeCell ref="T978:T979"/>
    <mergeCell ref="AD978:AD979"/>
    <mergeCell ref="C979:E979"/>
    <mergeCell ref="F979:G979"/>
    <mergeCell ref="Z974:Z976"/>
    <mergeCell ref="AA974:AA976"/>
    <mergeCell ref="AB974:AB976"/>
    <mergeCell ref="AC974:AC976"/>
    <mergeCell ref="AD974:AD975"/>
    <mergeCell ref="AE974:AE979"/>
    <mergeCell ref="C975:E975"/>
    <mergeCell ref="F975:G975"/>
    <mergeCell ref="B976:B977"/>
    <mergeCell ref="C976:E976"/>
    <mergeCell ref="F976:G976"/>
    <mergeCell ref="K976:K977"/>
    <mergeCell ref="M976:M977"/>
    <mergeCell ref="T976:T977"/>
    <mergeCell ref="AD976:AD977"/>
    <mergeCell ref="C977:E977"/>
    <mergeCell ref="F977:G977"/>
    <mergeCell ref="J977:J979"/>
    <mergeCell ref="N977:O979"/>
    <mergeCell ref="P977:Q979"/>
    <mergeCell ref="R977:S979"/>
    <mergeCell ref="Z977:Z979"/>
    <mergeCell ref="AA977:AA979"/>
    <mergeCell ref="AB977:AB979"/>
    <mergeCell ref="N974:O976"/>
    <mergeCell ref="P974:Q976"/>
    <mergeCell ref="R974:S976"/>
    <mergeCell ref="T974:T975"/>
    <mergeCell ref="U974:U979"/>
    <mergeCell ref="V974:V979"/>
    <mergeCell ref="W974:W979"/>
    <mergeCell ref="X974:X979"/>
    <mergeCell ref="Y974:Y979"/>
    <mergeCell ref="A974:A979"/>
    <mergeCell ref="B974:B975"/>
    <mergeCell ref="C974:E974"/>
    <mergeCell ref="F974:G974"/>
    <mergeCell ref="H974:H979"/>
    <mergeCell ref="J974:J976"/>
    <mergeCell ref="K974:K975"/>
    <mergeCell ref="M974:M975"/>
    <mergeCell ref="AC983:AC985"/>
    <mergeCell ref="B984:B985"/>
    <mergeCell ref="C984:E984"/>
    <mergeCell ref="F984:G984"/>
    <mergeCell ref="K984:K985"/>
    <mergeCell ref="M972:M973"/>
    <mergeCell ref="T972:T973"/>
    <mergeCell ref="AD972:AD973"/>
    <mergeCell ref="C973:E973"/>
    <mergeCell ref="F973:G973"/>
    <mergeCell ref="Z968:Z970"/>
    <mergeCell ref="AA968:AA970"/>
    <mergeCell ref="AB968:AB970"/>
    <mergeCell ref="AC968:AC970"/>
    <mergeCell ref="AD968:AD969"/>
    <mergeCell ref="AE968:AE973"/>
    <mergeCell ref="C969:E969"/>
    <mergeCell ref="F969:G969"/>
    <mergeCell ref="B970:B971"/>
    <mergeCell ref="C970:E970"/>
    <mergeCell ref="F970:G970"/>
    <mergeCell ref="K970:K971"/>
    <mergeCell ref="M970:M971"/>
    <mergeCell ref="T970:T971"/>
    <mergeCell ref="AD970:AD971"/>
    <mergeCell ref="C971:E971"/>
    <mergeCell ref="F971:G971"/>
    <mergeCell ref="J971:J973"/>
    <mergeCell ref="N971:O973"/>
    <mergeCell ref="P971:Q973"/>
    <mergeCell ref="R971:S973"/>
    <mergeCell ref="Z971:Z973"/>
    <mergeCell ref="AA971:AA973"/>
    <mergeCell ref="AB971:AB973"/>
    <mergeCell ref="N968:O970"/>
    <mergeCell ref="P968:Q970"/>
    <mergeCell ref="R968:S970"/>
    <mergeCell ref="T968:T969"/>
    <mergeCell ref="U968:U973"/>
    <mergeCell ref="V968:V973"/>
    <mergeCell ref="W968:W973"/>
    <mergeCell ref="X968:X973"/>
    <mergeCell ref="Y968:Y973"/>
    <mergeCell ref="A968:A973"/>
    <mergeCell ref="B968:B969"/>
    <mergeCell ref="C968:E968"/>
    <mergeCell ref="F968:G968"/>
    <mergeCell ref="H968:H973"/>
    <mergeCell ref="J968:J970"/>
    <mergeCell ref="K968:K969"/>
    <mergeCell ref="M968:M969"/>
    <mergeCell ref="AC965:AC967"/>
    <mergeCell ref="B966:B967"/>
    <mergeCell ref="C966:E966"/>
    <mergeCell ref="F966:G966"/>
    <mergeCell ref="K966:K967"/>
    <mergeCell ref="M966:M967"/>
    <mergeCell ref="T966:T967"/>
    <mergeCell ref="AD966:AD967"/>
    <mergeCell ref="C967:E967"/>
    <mergeCell ref="F967:G967"/>
    <mergeCell ref="Z962:Z964"/>
    <mergeCell ref="AA962:AA964"/>
    <mergeCell ref="AB962:AB964"/>
    <mergeCell ref="AC962:AC964"/>
    <mergeCell ref="AD962:AD963"/>
    <mergeCell ref="AE962:AE967"/>
    <mergeCell ref="C963:E963"/>
    <mergeCell ref="F963:G963"/>
    <mergeCell ref="B964:B965"/>
    <mergeCell ref="C964:E964"/>
    <mergeCell ref="F964:G964"/>
    <mergeCell ref="K964:K965"/>
    <mergeCell ref="M964:M965"/>
    <mergeCell ref="T964:T965"/>
    <mergeCell ref="AD964:AD965"/>
    <mergeCell ref="C965:E965"/>
    <mergeCell ref="F965:G965"/>
    <mergeCell ref="J965:J967"/>
    <mergeCell ref="N965:O967"/>
    <mergeCell ref="P965:Q967"/>
    <mergeCell ref="R965:S967"/>
    <mergeCell ref="Z965:Z967"/>
    <mergeCell ref="AA965:AA967"/>
    <mergeCell ref="AB965:AB967"/>
    <mergeCell ref="N962:O964"/>
    <mergeCell ref="P962:Q964"/>
    <mergeCell ref="R962:S964"/>
    <mergeCell ref="T962:T963"/>
    <mergeCell ref="U962:U967"/>
    <mergeCell ref="V962:V967"/>
    <mergeCell ref="W962:W967"/>
    <mergeCell ref="X962:X967"/>
    <mergeCell ref="Y962:Y967"/>
    <mergeCell ref="A962:A967"/>
    <mergeCell ref="B962:B963"/>
    <mergeCell ref="C962:E962"/>
    <mergeCell ref="F962:G962"/>
    <mergeCell ref="H962:H967"/>
    <mergeCell ref="J962:J964"/>
    <mergeCell ref="K962:K963"/>
    <mergeCell ref="M962:M963"/>
    <mergeCell ref="AC971:AC973"/>
    <mergeCell ref="B972:B973"/>
    <mergeCell ref="C972:E972"/>
    <mergeCell ref="F972:G972"/>
    <mergeCell ref="K972:K973"/>
    <mergeCell ref="M958:M959"/>
    <mergeCell ref="T958:T959"/>
    <mergeCell ref="AD958:AD959"/>
    <mergeCell ref="C959:E959"/>
    <mergeCell ref="F959:G959"/>
    <mergeCell ref="Z954:Z956"/>
    <mergeCell ref="AA954:AA956"/>
    <mergeCell ref="AB954:AB956"/>
    <mergeCell ref="AC954:AC956"/>
    <mergeCell ref="AD954:AD955"/>
    <mergeCell ref="AE954:AE959"/>
    <mergeCell ref="C955:E955"/>
    <mergeCell ref="F955:G955"/>
    <mergeCell ref="B956:B957"/>
    <mergeCell ref="C956:E956"/>
    <mergeCell ref="F956:G956"/>
    <mergeCell ref="K956:K957"/>
    <mergeCell ref="M956:M957"/>
    <mergeCell ref="T956:T957"/>
    <mergeCell ref="AD956:AD957"/>
    <mergeCell ref="C957:E957"/>
    <mergeCell ref="F957:G957"/>
    <mergeCell ref="J957:J959"/>
    <mergeCell ref="N957:O959"/>
    <mergeCell ref="P957:Q959"/>
    <mergeCell ref="R957:S959"/>
    <mergeCell ref="Z957:Z959"/>
    <mergeCell ref="AA957:AA959"/>
    <mergeCell ref="AB957:AB959"/>
    <mergeCell ref="N954:O956"/>
    <mergeCell ref="P954:Q956"/>
    <mergeCell ref="R954:S956"/>
    <mergeCell ref="T954:T955"/>
    <mergeCell ref="U954:U959"/>
    <mergeCell ref="V954:V959"/>
    <mergeCell ref="W954:W959"/>
    <mergeCell ref="X954:X959"/>
    <mergeCell ref="Y954:Y959"/>
    <mergeCell ref="A954:A959"/>
    <mergeCell ref="B954:B955"/>
    <mergeCell ref="C954:E954"/>
    <mergeCell ref="F954:G954"/>
    <mergeCell ref="H954:H959"/>
    <mergeCell ref="J954:J956"/>
    <mergeCell ref="K954:K955"/>
    <mergeCell ref="M954:M955"/>
    <mergeCell ref="AC951:AC953"/>
    <mergeCell ref="B952:B953"/>
    <mergeCell ref="C952:E952"/>
    <mergeCell ref="F952:G952"/>
    <mergeCell ref="K952:K953"/>
    <mergeCell ref="M952:M953"/>
    <mergeCell ref="T952:T953"/>
    <mergeCell ref="AD952:AD953"/>
    <mergeCell ref="C953:E953"/>
    <mergeCell ref="F953:G953"/>
    <mergeCell ref="Z948:Z950"/>
    <mergeCell ref="AA948:AA950"/>
    <mergeCell ref="AB948:AB950"/>
    <mergeCell ref="AC948:AC950"/>
    <mergeCell ref="AD948:AD949"/>
    <mergeCell ref="AE948:AE953"/>
    <mergeCell ref="C949:E949"/>
    <mergeCell ref="F949:G949"/>
    <mergeCell ref="B950:B951"/>
    <mergeCell ref="C950:E950"/>
    <mergeCell ref="F950:G950"/>
    <mergeCell ref="K950:K951"/>
    <mergeCell ref="M950:M951"/>
    <mergeCell ref="T950:T951"/>
    <mergeCell ref="AD950:AD951"/>
    <mergeCell ref="C951:E951"/>
    <mergeCell ref="F951:G951"/>
    <mergeCell ref="J951:J953"/>
    <mergeCell ref="N951:O953"/>
    <mergeCell ref="P951:Q953"/>
    <mergeCell ref="R951:S953"/>
    <mergeCell ref="Z951:Z953"/>
    <mergeCell ref="AA951:AA953"/>
    <mergeCell ref="AB951:AB953"/>
    <mergeCell ref="N948:O950"/>
    <mergeCell ref="P948:Q950"/>
    <mergeCell ref="R948:S950"/>
    <mergeCell ref="T948:T949"/>
    <mergeCell ref="U948:U953"/>
    <mergeCell ref="V948:V953"/>
    <mergeCell ref="W948:W953"/>
    <mergeCell ref="X948:X953"/>
    <mergeCell ref="Y948:Y953"/>
    <mergeCell ref="A948:A953"/>
    <mergeCell ref="B948:B949"/>
    <mergeCell ref="C948:E948"/>
    <mergeCell ref="F948:G948"/>
    <mergeCell ref="H948:H953"/>
    <mergeCell ref="J948:J950"/>
    <mergeCell ref="K948:K949"/>
    <mergeCell ref="M948:M949"/>
    <mergeCell ref="AC957:AC959"/>
    <mergeCell ref="B958:B959"/>
    <mergeCell ref="C958:E958"/>
    <mergeCell ref="F958:G958"/>
    <mergeCell ref="K958:K959"/>
    <mergeCell ref="M946:M947"/>
    <mergeCell ref="T946:T947"/>
    <mergeCell ref="AD946:AD947"/>
    <mergeCell ref="C947:E947"/>
    <mergeCell ref="F947:G947"/>
    <mergeCell ref="Z942:Z944"/>
    <mergeCell ref="AA942:AA944"/>
    <mergeCell ref="AB942:AB944"/>
    <mergeCell ref="AC942:AC944"/>
    <mergeCell ref="AD942:AD943"/>
    <mergeCell ref="AE942:AE947"/>
    <mergeCell ref="C943:E943"/>
    <mergeCell ref="F943:G943"/>
    <mergeCell ref="B944:B945"/>
    <mergeCell ref="C944:E944"/>
    <mergeCell ref="F944:G944"/>
    <mergeCell ref="K944:K945"/>
    <mergeCell ref="M944:M945"/>
    <mergeCell ref="T944:T945"/>
    <mergeCell ref="AD944:AD945"/>
    <mergeCell ref="C945:E945"/>
    <mergeCell ref="F945:G945"/>
    <mergeCell ref="J945:J947"/>
    <mergeCell ref="N945:O947"/>
    <mergeCell ref="P945:Q947"/>
    <mergeCell ref="R945:S947"/>
    <mergeCell ref="Z945:Z947"/>
    <mergeCell ref="AA945:AA947"/>
    <mergeCell ref="AB945:AB947"/>
    <mergeCell ref="N942:O944"/>
    <mergeCell ref="P942:Q944"/>
    <mergeCell ref="R942:S944"/>
    <mergeCell ref="T942:T943"/>
    <mergeCell ref="U942:U947"/>
    <mergeCell ref="V942:V947"/>
    <mergeCell ref="W942:W947"/>
    <mergeCell ref="X942:X947"/>
    <mergeCell ref="Y942:Y947"/>
    <mergeCell ref="A942:A947"/>
    <mergeCell ref="B942:B943"/>
    <mergeCell ref="C942:E942"/>
    <mergeCell ref="F942:G942"/>
    <mergeCell ref="H942:H947"/>
    <mergeCell ref="J942:J944"/>
    <mergeCell ref="K942:K943"/>
    <mergeCell ref="M942:M943"/>
    <mergeCell ref="AC939:AC941"/>
    <mergeCell ref="B940:B941"/>
    <mergeCell ref="C940:E940"/>
    <mergeCell ref="F940:G940"/>
    <mergeCell ref="K940:K941"/>
    <mergeCell ref="M940:M941"/>
    <mergeCell ref="T940:T941"/>
    <mergeCell ref="AD940:AD941"/>
    <mergeCell ref="C941:E941"/>
    <mergeCell ref="F941:G941"/>
    <mergeCell ref="Z936:Z938"/>
    <mergeCell ref="AA936:AA938"/>
    <mergeCell ref="AB936:AB938"/>
    <mergeCell ref="AC936:AC938"/>
    <mergeCell ref="AD936:AD937"/>
    <mergeCell ref="AE936:AE941"/>
    <mergeCell ref="C937:E937"/>
    <mergeCell ref="F937:G937"/>
    <mergeCell ref="B938:B939"/>
    <mergeCell ref="C938:E938"/>
    <mergeCell ref="F938:G938"/>
    <mergeCell ref="K938:K939"/>
    <mergeCell ref="M938:M939"/>
    <mergeCell ref="T938:T939"/>
    <mergeCell ref="AD938:AD939"/>
    <mergeCell ref="C939:E939"/>
    <mergeCell ref="F939:G939"/>
    <mergeCell ref="J939:J941"/>
    <mergeCell ref="N939:O941"/>
    <mergeCell ref="P939:Q941"/>
    <mergeCell ref="R939:S941"/>
    <mergeCell ref="Z939:Z941"/>
    <mergeCell ref="AA939:AA941"/>
    <mergeCell ref="AB939:AB941"/>
    <mergeCell ref="N936:O938"/>
    <mergeCell ref="P936:Q938"/>
    <mergeCell ref="R936:S938"/>
    <mergeCell ref="T936:T937"/>
    <mergeCell ref="U936:U941"/>
    <mergeCell ref="V936:V941"/>
    <mergeCell ref="W936:W941"/>
    <mergeCell ref="X936:X941"/>
    <mergeCell ref="Y936:Y941"/>
    <mergeCell ref="A936:A941"/>
    <mergeCell ref="B936:B937"/>
    <mergeCell ref="C936:E936"/>
    <mergeCell ref="F936:G936"/>
    <mergeCell ref="H936:H941"/>
    <mergeCell ref="J936:J938"/>
    <mergeCell ref="K936:K937"/>
    <mergeCell ref="M936:M937"/>
    <mergeCell ref="AC945:AC947"/>
    <mergeCell ref="B946:B947"/>
    <mergeCell ref="C946:E946"/>
    <mergeCell ref="F946:G946"/>
    <mergeCell ref="K946:K947"/>
    <mergeCell ref="M934:M935"/>
    <mergeCell ref="T934:T935"/>
    <mergeCell ref="AD934:AD935"/>
    <mergeCell ref="C935:E935"/>
    <mergeCell ref="F935:G935"/>
    <mergeCell ref="Z930:Z932"/>
    <mergeCell ref="AA930:AA932"/>
    <mergeCell ref="AB930:AB932"/>
    <mergeCell ref="AC930:AC932"/>
    <mergeCell ref="AD930:AD931"/>
    <mergeCell ref="AE930:AE935"/>
    <mergeCell ref="C931:E931"/>
    <mergeCell ref="F931:G931"/>
    <mergeCell ref="B932:B933"/>
    <mergeCell ref="C932:E932"/>
    <mergeCell ref="F932:G932"/>
    <mergeCell ref="K932:K933"/>
    <mergeCell ref="M932:M933"/>
    <mergeCell ref="T932:T933"/>
    <mergeCell ref="AD932:AD933"/>
    <mergeCell ref="C933:E933"/>
    <mergeCell ref="F933:G933"/>
    <mergeCell ref="J933:J935"/>
    <mergeCell ref="N933:O935"/>
    <mergeCell ref="P933:Q935"/>
    <mergeCell ref="R933:S935"/>
    <mergeCell ref="Z933:Z935"/>
    <mergeCell ref="AA933:AA935"/>
    <mergeCell ref="AB933:AB935"/>
    <mergeCell ref="N930:O932"/>
    <mergeCell ref="P930:Q932"/>
    <mergeCell ref="R930:S932"/>
    <mergeCell ref="T930:T931"/>
    <mergeCell ref="U930:U935"/>
    <mergeCell ref="V930:V935"/>
    <mergeCell ref="W930:W935"/>
    <mergeCell ref="X930:X935"/>
    <mergeCell ref="Y930:Y935"/>
    <mergeCell ref="A930:A935"/>
    <mergeCell ref="B930:B931"/>
    <mergeCell ref="C930:E930"/>
    <mergeCell ref="F930:G930"/>
    <mergeCell ref="H930:H935"/>
    <mergeCell ref="J930:J932"/>
    <mergeCell ref="K930:K931"/>
    <mergeCell ref="M930:M931"/>
    <mergeCell ref="AC925:AC927"/>
    <mergeCell ref="B926:B927"/>
    <mergeCell ref="C926:E926"/>
    <mergeCell ref="F926:G926"/>
    <mergeCell ref="K926:K927"/>
    <mergeCell ref="M926:M927"/>
    <mergeCell ref="T926:T927"/>
    <mergeCell ref="AD926:AD927"/>
    <mergeCell ref="C927:E927"/>
    <mergeCell ref="F927:G927"/>
    <mergeCell ref="Z922:Z924"/>
    <mergeCell ref="AA922:AA924"/>
    <mergeCell ref="AB922:AB924"/>
    <mergeCell ref="AC922:AC924"/>
    <mergeCell ref="AD922:AD923"/>
    <mergeCell ref="AE922:AE927"/>
    <mergeCell ref="C923:E923"/>
    <mergeCell ref="F923:G923"/>
    <mergeCell ref="B924:B925"/>
    <mergeCell ref="C924:E924"/>
    <mergeCell ref="F924:G924"/>
    <mergeCell ref="K924:K925"/>
    <mergeCell ref="M924:M925"/>
    <mergeCell ref="T924:T925"/>
    <mergeCell ref="AD924:AD925"/>
    <mergeCell ref="C925:E925"/>
    <mergeCell ref="F925:G925"/>
    <mergeCell ref="J925:J927"/>
    <mergeCell ref="N925:O927"/>
    <mergeCell ref="P925:Q927"/>
    <mergeCell ref="R925:S927"/>
    <mergeCell ref="Z925:Z927"/>
    <mergeCell ref="AA925:AA927"/>
    <mergeCell ref="AB925:AB927"/>
    <mergeCell ref="N922:O924"/>
    <mergeCell ref="P922:Q924"/>
    <mergeCell ref="R922:S924"/>
    <mergeCell ref="T922:T923"/>
    <mergeCell ref="U922:U927"/>
    <mergeCell ref="V922:V927"/>
    <mergeCell ref="W922:W927"/>
    <mergeCell ref="X922:X927"/>
    <mergeCell ref="Y922:Y927"/>
    <mergeCell ref="A922:A927"/>
    <mergeCell ref="B922:B923"/>
    <mergeCell ref="C922:E922"/>
    <mergeCell ref="F922:G922"/>
    <mergeCell ref="H922:H927"/>
    <mergeCell ref="J922:J924"/>
    <mergeCell ref="K922:K923"/>
    <mergeCell ref="M922:M923"/>
    <mergeCell ref="AC933:AC935"/>
    <mergeCell ref="B934:B935"/>
    <mergeCell ref="C934:E934"/>
    <mergeCell ref="F934:G934"/>
    <mergeCell ref="K934:K935"/>
    <mergeCell ref="M920:M921"/>
    <mergeCell ref="T920:T921"/>
    <mergeCell ref="AD920:AD921"/>
    <mergeCell ref="C921:E921"/>
    <mergeCell ref="F921:G921"/>
    <mergeCell ref="Z916:Z918"/>
    <mergeCell ref="AA916:AA918"/>
    <mergeCell ref="AB916:AB918"/>
    <mergeCell ref="AC916:AC918"/>
    <mergeCell ref="AD916:AD917"/>
    <mergeCell ref="AE916:AE921"/>
    <mergeCell ref="C917:E917"/>
    <mergeCell ref="F917:G917"/>
    <mergeCell ref="B918:B919"/>
    <mergeCell ref="C918:E918"/>
    <mergeCell ref="F918:G918"/>
    <mergeCell ref="K918:K919"/>
    <mergeCell ref="M918:M919"/>
    <mergeCell ref="T918:T919"/>
    <mergeCell ref="AD918:AD919"/>
    <mergeCell ref="C919:E919"/>
    <mergeCell ref="F919:G919"/>
    <mergeCell ref="J919:J921"/>
    <mergeCell ref="N919:O921"/>
    <mergeCell ref="P919:Q921"/>
    <mergeCell ref="R919:S921"/>
    <mergeCell ref="Z919:Z921"/>
    <mergeCell ref="AA919:AA921"/>
    <mergeCell ref="AB919:AB921"/>
    <mergeCell ref="N916:O918"/>
    <mergeCell ref="P916:Q918"/>
    <mergeCell ref="R916:S918"/>
    <mergeCell ref="T916:T917"/>
    <mergeCell ref="U916:U921"/>
    <mergeCell ref="V916:V921"/>
    <mergeCell ref="W916:W921"/>
    <mergeCell ref="X916:X921"/>
    <mergeCell ref="Y916:Y921"/>
    <mergeCell ref="A916:A921"/>
    <mergeCell ref="B916:B917"/>
    <mergeCell ref="C916:E916"/>
    <mergeCell ref="F916:G916"/>
    <mergeCell ref="H916:H921"/>
    <mergeCell ref="J916:J918"/>
    <mergeCell ref="K916:K917"/>
    <mergeCell ref="M916:M917"/>
    <mergeCell ref="AC913:AC915"/>
    <mergeCell ref="B914:B915"/>
    <mergeCell ref="C914:E914"/>
    <mergeCell ref="F914:G914"/>
    <mergeCell ref="K914:K915"/>
    <mergeCell ref="M914:M915"/>
    <mergeCell ref="T914:T915"/>
    <mergeCell ref="AD914:AD915"/>
    <mergeCell ref="C915:E915"/>
    <mergeCell ref="F915:G915"/>
    <mergeCell ref="Z910:Z912"/>
    <mergeCell ref="AA910:AA912"/>
    <mergeCell ref="AB910:AB912"/>
    <mergeCell ref="AC910:AC912"/>
    <mergeCell ref="AD910:AD911"/>
    <mergeCell ref="AE910:AE915"/>
    <mergeCell ref="C911:E911"/>
    <mergeCell ref="F911:G911"/>
    <mergeCell ref="B912:B913"/>
    <mergeCell ref="C912:E912"/>
    <mergeCell ref="F912:G912"/>
    <mergeCell ref="K912:K913"/>
    <mergeCell ref="M912:M913"/>
    <mergeCell ref="T912:T913"/>
    <mergeCell ref="AD912:AD913"/>
    <mergeCell ref="C913:E913"/>
    <mergeCell ref="F913:G913"/>
    <mergeCell ref="J913:J915"/>
    <mergeCell ref="N913:O915"/>
    <mergeCell ref="P913:Q915"/>
    <mergeCell ref="R913:S915"/>
    <mergeCell ref="Z913:Z915"/>
    <mergeCell ref="AA913:AA915"/>
    <mergeCell ref="AB913:AB915"/>
    <mergeCell ref="N910:O912"/>
    <mergeCell ref="P910:Q912"/>
    <mergeCell ref="R910:S912"/>
    <mergeCell ref="T910:T911"/>
    <mergeCell ref="U910:U915"/>
    <mergeCell ref="V910:V915"/>
    <mergeCell ref="W910:W915"/>
    <mergeCell ref="X910:X915"/>
    <mergeCell ref="Y910:Y915"/>
    <mergeCell ref="A910:A915"/>
    <mergeCell ref="B910:B911"/>
    <mergeCell ref="C910:E910"/>
    <mergeCell ref="F910:G910"/>
    <mergeCell ref="H910:H915"/>
    <mergeCell ref="J910:J912"/>
    <mergeCell ref="K910:K911"/>
    <mergeCell ref="M910:M911"/>
    <mergeCell ref="AC919:AC921"/>
    <mergeCell ref="B920:B921"/>
    <mergeCell ref="C920:E920"/>
    <mergeCell ref="F920:G920"/>
    <mergeCell ref="K920:K921"/>
    <mergeCell ref="M908:M909"/>
    <mergeCell ref="T908:T909"/>
    <mergeCell ref="AD908:AD909"/>
    <mergeCell ref="C909:E909"/>
    <mergeCell ref="F909:G909"/>
    <mergeCell ref="Z904:Z906"/>
    <mergeCell ref="AA904:AA906"/>
    <mergeCell ref="AB904:AB906"/>
    <mergeCell ref="AC904:AC906"/>
    <mergeCell ref="AD904:AD905"/>
    <mergeCell ref="AE904:AE909"/>
    <mergeCell ref="C905:E905"/>
    <mergeCell ref="F905:G905"/>
    <mergeCell ref="B906:B907"/>
    <mergeCell ref="C906:E906"/>
    <mergeCell ref="F906:G906"/>
    <mergeCell ref="K906:K907"/>
    <mergeCell ref="M906:M907"/>
    <mergeCell ref="T906:T907"/>
    <mergeCell ref="AD906:AD907"/>
    <mergeCell ref="C907:E907"/>
    <mergeCell ref="F907:G907"/>
    <mergeCell ref="J907:J909"/>
    <mergeCell ref="N907:O909"/>
    <mergeCell ref="P907:Q909"/>
    <mergeCell ref="R907:S909"/>
    <mergeCell ref="Z907:Z909"/>
    <mergeCell ref="AA907:AA909"/>
    <mergeCell ref="AB907:AB909"/>
    <mergeCell ref="N904:O906"/>
    <mergeCell ref="P904:Q906"/>
    <mergeCell ref="R904:S906"/>
    <mergeCell ref="T904:T905"/>
    <mergeCell ref="U904:U909"/>
    <mergeCell ref="V904:V909"/>
    <mergeCell ref="W904:W909"/>
    <mergeCell ref="X904:X909"/>
    <mergeCell ref="Y904:Y909"/>
    <mergeCell ref="A904:A909"/>
    <mergeCell ref="B904:B905"/>
    <mergeCell ref="C904:E904"/>
    <mergeCell ref="F904:G904"/>
    <mergeCell ref="H904:H909"/>
    <mergeCell ref="J904:J906"/>
    <mergeCell ref="K904:K905"/>
    <mergeCell ref="M904:M905"/>
    <mergeCell ref="AC901:AC903"/>
    <mergeCell ref="B902:B903"/>
    <mergeCell ref="C902:E902"/>
    <mergeCell ref="F902:G902"/>
    <mergeCell ref="K902:K903"/>
    <mergeCell ref="M902:M903"/>
    <mergeCell ref="T902:T903"/>
    <mergeCell ref="AD902:AD903"/>
    <mergeCell ref="C903:E903"/>
    <mergeCell ref="F903:G903"/>
    <mergeCell ref="Z898:Z900"/>
    <mergeCell ref="AA898:AA900"/>
    <mergeCell ref="AB898:AB900"/>
    <mergeCell ref="AC898:AC900"/>
    <mergeCell ref="AD898:AD899"/>
    <mergeCell ref="AE898:AE903"/>
    <mergeCell ref="C899:E899"/>
    <mergeCell ref="F899:G899"/>
    <mergeCell ref="B900:B901"/>
    <mergeCell ref="C900:E900"/>
    <mergeCell ref="F900:G900"/>
    <mergeCell ref="K900:K901"/>
    <mergeCell ref="M900:M901"/>
    <mergeCell ref="T900:T901"/>
    <mergeCell ref="AD900:AD901"/>
    <mergeCell ref="C901:E901"/>
    <mergeCell ref="F901:G901"/>
    <mergeCell ref="J901:J903"/>
    <mergeCell ref="N901:O903"/>
    <mergeCell ref="P901:Q903"/>
    <mergeCell ref="R901:S903"/>
    <mergeCell ref="Z901:Z903"/>
    <mergeCell ref="AA901:AA903"/>
    <mergeCell ref="AB901:AB903"/>
    <mergeCell ref="N898:O900"/>
    <mergeCell ref="P898:Q900"/>
    <mergeCell ref="R898:S900"/>
    <mergeCell ref="T898:T899"/>
    <mergeCell ref="U898:U903"/>
    <mergeCell ref="V898:V903"/>
    <mergeCell ref="W898:W903"/>
    <mergeCell ref="X898:X903"/>
    <mergeCell ref="Y898:Y903"/>
    <mergeCell ref="A898:A903"/>
    <mergeCell ref="B898:B899"/>
    <mergeCell ref="C898:E898"/>
    <mergeCell ref="F898:G898"/>
    <mergeCell ref="H898:H903"/>
    <mergeCell ref="J898:J900"/>
    <mergeCell ref="K898:K899"/>
    <mergeCell ref="M898:M899"/>
    <mergeCell ref="AC907:AC909"/>
    <mergeCell ref="B908:B909"/>
    <mergeCell ref="C908:E908"/>
    <mergeCell ref="F908:G908"/>
    <mergeCell ref="K908:K909"/>
    <mergeCell ref="M894:M895"/>
    <mergeCell ref="T894:T895"/>
    <mergeCell ref="AD894:AD895"/>
    <mergeCell ref="C895:E895"/>
    <mergeCell ref="F895:G895"/>
    <mergeCell ref="Z890:Z892"/>
    <mergeCell ref="AA890:AA892"/>
    <mergeCell ref="AB890:AB892"/>
    <mergeCell ref="AC890:AC892"/>
    <mergeCell ref="AD890:AD891"/>
    <mergeCell ref="AE890:AE895"/>
    <mergeCell ref="C891:E891"/>
    <mergeCell ref="F891:G891"/>
    <mergeCell ref="B892:B893"/>
    <mergeCell ref="C892:E892"/>
    <mergeCell ref="F892:G892"/>
    <mergeCell ref="K892:K893"/>
    <mergeCell ref="M892:M893"/>
    <mergeCell ref="T892:T893"/>
    <mergeCell ref="AD892:AD893"/>
    <mergeCell ref="C893:E893"/>
    <mergeCell ref="F893:G893"/>
    <mergeCell ref="J893:J895"/>
    <mergeCell ref="N893:O895"/>
    <mergeCell ref="P893:Q895"/>
    <mergeCell ref="R893:S895"/>
    <mergeCell ref="Z893:Z895"/>
    <mergeCell ref="AA893:AA895"/>
    <mergeCell ref="AB893:AB895"/>
    <mergeCell ref="N890:O892"/>
    <mergeCell ref="P890:Q892"/>
    <mergeCell ref="R890:S892"/>
    <mergeCell ref="T890:T891"/>
    <mergeCell ref="U890:U895"/>
    <mergeCell ref="V890:V895"/>
    <mergeCell ref="W890:W895"/>
    <mergeCell ref="X890:X895"/>
    <mergeCell ref="Y890:Y895"/>
    <mergeCell ref="A890:A895"/>
    <mergeCell ref="B890:B891"/>
    <mergeCell ref="C890:E890"/>
    <mergeCell ref="F890:G890"/>
    <mergeCell ref="H890:H895"/>
    <mergeCell ref="J890:J892"/>
    <mergeCell ref="K890:K891"/>
    <mergeCell ref="M890:M891"/>
    <mergeCell ref="AC887:AC889"/>
    <mergeCell ref="B888:B889"/>
    <mergeCell ref="C888:E888"/>
    <mergeCell ref="F888:G888"/>
    <mergeCell ref="K888:K889"/>
    <mergeCell ref="M888:M889"/>
    <mergeCell ref="T888:T889"/>
    <mergeCell ref="AD888:AD889"/>
    <mergeCell ref="C889:E889"/>
    <mergeCell ref="F889:G889"/>
    <mergeCell ref="Z884:Z886"/>
    <mergeCell ref="AA884:AA886"/>
    <mergeCell ref="AB884:AB886"/>
    <mergeCell ref="AC884:AC886"/>
    <mergeCell ref="AD884:AD885"/>
    <mergeCell ref="AE884:AE889"/>
    <mergeCell ref="C885:E885"/>
    <mergeCell ref="F885:G885"/>
    <mergeCell ref="B886:B887"/>
    <mergeCell ref="C886:E886"/>
    <mergeCell ref="F886:G886"/>
    <mergeCell ref="K886:K887"/>
    <mergeCell ref="M886:M887"/>
    <mergeCell ref="T886:T887"/>
    <mergeCell ref="AD886:AD887"/>
    <mergeCell ref="C887:E887"/>
    <mergeCell ref="F887:G887"/>
    <mergeCell ref="J887:J889"/>
    <mergeCell ref="N887:O889"/>
    <mergeCell ref="P887:Q889"/>
    <mergeCell ref="R887:S889"/>
    <mergeCell ref="Z887:Z889"/>
    <mergeCell ref="AA887:AA889"/>
    <mergeCell ref="AB887:AB889"/>
    <mergeCell ref="N884:O886"/>
    <mergeCell ref="P884:Q886"/>
    <mergeCell ref="R884:S886"/>
    <mergeCell ref="T884:T885"/>
    <mergeCell ref="U884:U889"/>
    <mergeCell ref="V884:V889"/>
    <mergeCell ref="W884:W889"/>
    <mergeCell ref="X884:X889"/>
    <mergeCell ref="Y884:Y889"/>
    <mergeCell ref="A884:A889"/>
    <mergeCell ref="B884:B885"/>
    <mergeCell ref="C884:E884"/>
    <mergeCell ref="F884:G884"/>
    <mergeCell ref="H884:H889"/>
    <mergeCell ref="J884:J886"/>
    <mergeCell ref="K884:K885"/>
    <mergeCell ref="M884:M885"/>
    <mergeCell ref="AC893:AC895"/>
    <mergeCell ref="B894:B895"/>
    <mergeCell ref="C894:E894"/>
    <mergeCell ref="F894:G894"/>
    <mergeCell ref="K894:K895"/>
    <mergeCell ref="M882:M883"/>
    <mergeCell ref="T882:T883"/>
    <mergeCell ref="AD882:AD883"/>
    <mergeCell ref="C883:E883"/>
    <mergeCell ref="F883:G883"/>
    <mergeCell ref="Z878:Z880"/>
    <mergeCell ref="AA878:AA880"/>
    <mergeCell ref="AB878:AB880"/>
    <mergeCell ref="AC878:AC880"/>
    <mergeCell ref="AD878:AD879"/>
    <mergeCell ref="AE878:AE883"/>
    <mergeCell ref="C879:E879"/>
    <mergeCell ref="F879:G879"/>
    <mergeCell ref="B880:B881"/>
    <mergeCell ref="C880:E880"/>
    <mergeCell ref="F880:G880"/>
    <mergeCell ref="K880:K881"/>
    <mergeCell ref="M880:M881"/>
    <mergeCell ref="T880:T881"/>
    <mergeCell ref="AD880:AD881"/>
    <mergeCell ref="C881:E881"/>
    <mergeCell ref="F881:G881"/>
    <mergeCell ref="J881:J883"/>
    <mergeCell ref="N881:O883"/>
    <mergeCell ref="P881:Q883"/>
    <mergeCell ref="R881:S883"/>
    <mergeCell ref="Z881:Z883"/>
    <mergeCell ref="AA881:AA883"/>
    <mergeCell ref="AB881:AB883"/>
    <mergeCell ref="N878:O880"/>
    <mergeCell ref="P878:Q880"/>
    <mergeCell ref="R878:S880"/>
    <mergeCell ref="T878:T879"/>
    <mergeCell ref="U878:U883"/>
    <mergeCell ref="V878:V883"/>
    <mergeCell ref="W878:W883"/>
    <mergeCell ref="X878:X883"/>
    <mergeCell ref="Y878:Y883"/>
    <mergeCell ref="A878:A883"/>
    <mergeCell ref="B878:B879"/>
    <mergeCell ref="C878:E878"/>
    <mergeCell ref="F878:G878"/>
    <mergeCell ref="H878:H883"/>
    <mergeCell ref="J878:J880"/>
    <mergeCell ref="K878:K879"/>
    <mergeCell ref="M878:M879"/>
    <mergeCell ref="AC875:AC877"/>
    <mergeCell ref="B876:B877"/>
    <mergeCell ref="C876:E876"/>
    <mergeCell ref="F876:G876"/>
    <mergeCell ref="K876:K877"/>
    <mergeCell ref="M876:M877"/>
    <mergeCell ref="T876:T877"/>
    <mergeCell ref="AD876:AD877"/>
    <mergeCell ref="C877:E877"/>
    <mergeCell ref="F877:G877"/>
    <mergeCell ref="Z872:Z874"/>
    <mergeCell ref="AA872:AA874"/>
    <mergeCell ref="AB872:AB874"/>
    <mergeCell ref="AC872:AC874"/>
    <mergeCell ref="AD872:AD873"/>
    <mergeCell ref="AE872:AE877"/>
    <mergeCell ref="C873:E873"/>
    <mergeCell ref="F873:G873"/>
    <mergeCell ref="B874:B875"/>
    <mergeCell ref="C874:E874"/>
    <mergeCell ref="F874:G874"/>
    <mergeCell ref="K874:K875"/>
    <mergeCell ref="M874:M875"/>
    <mergeCell ref="T874:T875"/>
    <mergeCell ref="AD874:AD875"/>
    <mergeCell ref="C875:E875"/>
    <mergeCell ref="F875:G875"/>
    <mergeCell ref="J875:J877"/>
    <mergeCell ref="N875:O877"/>
    <mergeCell ref="P875:Q877"/>
    <mergeCell ref="R875:S877"/>
    <mergeCell ref="Z875:Z877"/>
    <mergeCell ref="AA875:AA877"/>
    <mergeCell ref="AB875:AB877"/>
    <mergeCell ref="N872:O874"/>
    <mergeCell ref="P872:Q874"/>
    <mergeCell ref="R872:S874"/>
    <mergeCell ref="T872:T873"/>
    <mergeCell ref="U872:U877"/>
    <mergeCell ref="V872:V877"/>
    <mergeCell ref="W872:W877"/>
    <mergeCell ref="X872:X877"/>
    <mergeCell ref="Y872:Y877"/>
    <mergeCell ref="A872:A877"/>
    <mergeCell ref="B872:B873"/>
    <mergeCell ref="C872:E872"/>
    <mergeCell ref="F872:G872"/>
    <mergeCell ref="H872:H877"/>
    <mergeCell ref="J872:J874"/>
    <mergeCell ref="K872:K873"/>
    <mergeCell ref="M872:M873"/>
    <mergeCell ref="AC881:AC883"/>
    <mergeCell ref="B882:B883"/>
    <mergeCell ref="C882:E882"/>
    <mergeCell ref="F882:G882"/>
    <mergeCell ref="K882:K883"/>
    <mergeCell ref="M870:M871"/>
    <mergeCell ref="T870:T871"/>
    <mergeCell ref="AD870:AD871"/>
    <mergeCell ref="C871:E871"/>
    <mergeCell ref="F871:G871"/>
    <mergeCell ref="Z866:Z868"/>
    <mergeCell ref="AA866:AA868"/>
    <mergeCell ref="AB866:AB868"/>
    <mergeCell ref="AC866:AC868"/>
    <mergeCell ref="AD866:AD867"/>
    <mergeCell ref="AE866:AE871"/>
    <mergeCell ref="C867:E867"/>
    <mergeCell ref="F867:G867"/>
    <mergeCell ref="B868:B869"/>
    <mergeCell ref="C868:E868"/>
    <mergeCell ref="F868:G868"/>
    <mergeCell ref="K868:K869"/>
    <mergeCell ref="M868:M869"/>
    <mergeCell ref="T868:T869"/>
    <mergeCell ref="AD868:AD869"/>
    <mergeCell ref="C869:E869"/>
    <mergeCell ref="F869:G869"/>
    <mergeCell ref="J869:J871"/>
    <mergeCell ref="N869:O871"/>
    <mergeCell ref="P869:Q871"/>
    <mergeCell ref="R869:S871"/>
    <mergeCell ref="Z869:Z871"/>
    <mergeCell ref="AA869:AA871"/>
    <mergeCell ref="AB869:AB871"/>
    <mergeCell ref="N866:O868"/>
    <mergeCell ref="P866:Q868"/>
    <mergeCell ref="R866:S868"/>
    <mergeCell ref="T866:T867"/>
    <mergeCell ref="U866:U871"/>
    <mergeCell ref="V866:V871"/>
    <mergeCell ref="W866:W871"/>
    <mergeCell ref="X866:X871"/>
    <mergeCell ref="Y866:Y871"/>
    <mergeCell ref="A866:A871"/>
    <mergeCell ref="B866:B867"/>
    <mergeCell ref="C866:E866"/>
    <mergeCell ref="F866:G866"/>
    <mergeCell ref="H866:H871"/>
    <mergeCell ref="J866:J868"/>
    <mergeCell ref="K866:K867"/>
    <mergeCell ref="M866:M867"/>
    <mergeCell ref="AC861:AC863"/>
    <mergeCell ref="B862:B863"/>
    <mergeCell ref="C862:E862"/>
    <mergeCell ref="F862:G862"/>
    <mergeCell ref="K862:K863"/>
    <mergeCell ref="M862:M863"/>
    <mergeCell ref="T862:T863"/>
    <mergeCell ref="AD862:AD863"/>
    <mergeCell ref="C863:E863"/>
    <mergeCell ref="F863:G863"/>
    <mergeCell ref="Z858:Z860"/>
    <mergeCell ref="AA858:AA860"/>
    <mergeCell ref="AB858:AB860"/>
    <mergeCell ref="AC858:AC860"/>
    <mergeCell ref="AD858:AD859"/>
    <mergeCell ref="AE858:AE863"/>
    <mergeCell ref="C859:E859"/>
    <mergeCell ref="F859:G859"/>
    <mergeCell ref="B860:B861"/>
    <mergeCell ref="C860:E860"/>
    <mergeCell ref="F860:G860"/>
    <mergeCell ref="K860:K861"/>
    <mergeCell ref="M860:M861"/>
    <mergeCell ref="T860:T861"/>
    <mergeCell ref="AD860:AD861"/>
    <mergeCell ref="C861:E861"/>
    <mergeCell ref="F861:G861"/>
    <mergeCell ref="J861:J863"/>
    <mergeCell ref="N861:O863"/>
    <mergeCell ref="P861:Q863"/>
    <mergeCell ref="R861:S863"/>
    <mergeCell ref="Z861:Z863"/>
    <mergeCell ref="AA861:AA863"/>
    <mergeCell ref="AB861:AB863"/>
    <mergeCell ref="N858:O860"/>
    <mergeCell ref="P858:Q860"/>
    <mergeCell ref="R858:S860"/>
    <mergeCell ref="T858:T859"/>
    <mergeCell ref="U858:U863"/>
    <mergeCell ref="V858:V863"/>
    <mergeCell ref="W858:W863"/>
    <mergeCell ref="X858:X863"/>
    <mergeCell ref="Y858:Y863"/>
    <mergeCell ref="A858:A863"/>
    <mergeCell ref="B858:B859"/>
    <mergeCell ref="C858:E858"/>
    <mergeCell ref="F858:G858"/>
    <mergeCell ref="H858:H863"/>
    <mergeCell ref="J858:J860"/>
    <mergeCell ref="K858:K859"/>
    <mergeCell ref="M858:M859"/>
    <mergeCell ref="AC869:AC871"/>
    <mergeCell ref="B870:B871"/>
    <mergeCell ref="C870:E870"/>
    <mergeCell ref="F870:G870"/>
    <mergeCell ref="K870:K871"/>
    <mergeCell ref="M856:M857"/>
    <mergeCell ref="T856:T857"/>
    <mergeCell ref="AD856:AD857"/>
    <mergeCell ref="C857:E857"/>
    <mergeCell ref="F857:G857"/>
    <mergeCell ref="Z852:Z854"/>
    <mergeCell ref="AA852:AA854"/>
    <mergeCell ref="AB852:AB854"/>
    <mergeCell ref="AC852:AC854"/>
    <mergeCell ref="AD852:AD853"/>
    <mergeCell ref="AE852:AE857"/>
    <mergeCell ref="C853:E853"/>
    <mergeCell ref="F853:G853"/>
    <mergeCell ref="B854:B855"/>
    <mergeCell ref="C854:E854"/>
    <mergeCell ref="F854:G854"/>
    <mergeCell ref="K854:K855"/>
    <mergeCell ref="M854:M855"/>
    <mergeCell ref="T854:T855"/>
    <mergeCell ref="AD854:AD855"/>
    <mergeCell ref="C855:E855"/>
    <mergeCell ref="F855:G855"/>
    <mergeCell ref="J855:J857"/>
    <mergeCell ref="N855:O857"/>
    <mergeCell ref="P855:Q857"/>
    <mergeCell ref="R855:S857"/>
    <mergeCell ref="Z855:Z857"/>
    <mergeCell ref="AA855:AA857"/>
    <mergeCell ref="AB855:AB857"/>
    <mergeCell ref="N852:O854"/>
    <mergeCell ref="P852:Q854"/>
    <mergeCell ref="R852:S854"/>
    <mergeCell ref="T852:T853"/>
    <mergeCell ref="U852:U857"/>
    <mergeCell ref="V852:V857"/>
    <mergeCell ref="W852:W857"/>
    <mergeCell ref="X852:X857"/>
    <mergeCell ref="Y852:Y857"/>
    <mergeCell ref="A852:A857"/>
    <mergeCell ref="B852:B853"/>
    <mergeCell ref="C852:E852"/>
    <mergeCell ref="F852:G852"/>
    <mergeCell ref="H852:H857"/>
    <mergeCell ref="J852:J854"/>
    <mergeCell ref="K852:K853"/>
    <mergeCell ref="M852:M853"/>
    <mergeCell ref="AC849:AC851"/>
    <mergeCell ref="B850:B851"/>
    <mergeCell ref="C850:E850"/>
    <mergeCell ref="F850:G850"/>
    <mergeCell ref="K850:K851"/>
    <mergeCell ref="M850:M851"/>
    <mergeCell ref="T850:T851"/>
    <mergeCell ref="AD850:AD851"/>
    <mergeCell ref="C851:E851"/>
    <mergeCell ref="F851:G851"/>
    <mergeCell ref="Z846:Z848"/>
    <mergeCell ref="AA846:AA848"/>
    <mergeCell ref="AB846:AB848"/>
    <mergeCell ref="AC846:AC848"/>
    <mergeCell ref="AD846:AD847"/>
    <mergeCell ref="AE846:AE851"/>
    <mergeCell ref="C847:E847"/>
    <mergeCell ref="F847:G847"/>
    <mergeCell ref="B848:B849"/>
    <mergeCell ref="C848:E848"/>
    <mergeCell ref="F848:G848"/>
    <mergeCell ref="K848:K849"/>
    <mergeCell ref="M848:M849"/>
    <mergeCell ref="T848:T849"/>
    <mergeCell ref="AD848:AD849"/>
    <mergeCell ref="C849:E849"/>
    <mergeCell ref="F849:G849"/>
    <mergeCell ref="J849:J851"/>
    <mergeCell ref="N849:O851"/>
    <mergeCell ref="P849:Q851"/>
    <mergeCell ref="R849:S851"/>
    <mergeCell ref="Z849:Z851"/>
    <mergeCell ref="AA849:AA851"/>
    <mergeCell ref="AB849:AB851"/>
    <mergeCell ref="N846:O848"/>
    <mergeCell ref="P846:Q848"/>
    <mergeCell ref="R846:S848"/>
    <mergeCell ref="T846:T847"/>
    <mergeCell ref="U846:U851"/>
    <mergeCell ref="V846:V851"/>
    <mergeCell ref="W846:W851"/>
    <mergeCell ref="X846:X851"/>
    <mergeCell ref="Y846:Y851"/>
    <mergeCell ref="A846:A851"/>
    <mergeCell ref="B846:B847"/>
    <mergeCell ref="C846:E846"/>
    <mergeCell ref="F846:G846"/>
    <mergeCell ref="H846:H851"/>
    <mergeCell ref="J846:J848"/>
    <mergeCell ref="K846:K847"/>
    <mergeCell ref="M846:M847"/>
    <mergeCell ref="AC855:AC857"/>
    <mergeCell ref="B856:B857"/>
    <mergeCell ref="C856:E856"/>
    <mergeCell ref="F856:G856"/>
    <mergeCell ref="K856:K857"/>
    <mergeCell ref="M844:M845"/>
    <mergeCell ref="T844:T845"/>
    <mergeCell ref="AD844:AD845"/>
    <mergeCell ref="C845:E845"/>
    <mergeCell ref="F845:G845"/>
    <mergeCell ref="Z840:Z842"/>
    <mergeCell ref="AA840:AA842"/>
    <mergeCell ref="AB840:AB842"/>
    <mergeCell ref="AC840:AC842"/>
    <mergeCell ref="AD840:AD841"/>
    <mergeCell ref="AE840:AE845"/>
    <mergeCell ref="C841:E841"/>
    <mergeCell ref="F841:G841"/>
    <mergeCell ref="B842:B843"/>
    <mergeCell ref="C842:E842"/>
    <mergeCell ref="F842:G842"/>
    <mergeCell ref="K842:K843"/>
    <mergeCell ref="M842:M843"/>
    <mergeCell ref="T842:T843"/>
    <mergeCell ref="AD842:AD843"/>
    <mergeCell ref="C843:E843"/>
    <mergeCell ref="F843:G843"/>
    <mergeCell ref="J843:J845"/>
    <mergeCell ref="N843:O845"/>
    <mergeCell ref="P843:Q845"/>
    <mergeCell ref="R843:S845"/>
    <mergeCell ref="Z843:Z845"/>
    <mergeCell ref="AA843:AA845"/>
    <mergeCell ref="AB843:AB845"/>
    <mergeCell ref="N840:O842"/>
    <mergeCell ref="P840:Q842"/>
    <mergeCell ref="R840:S842"/>
    <mergeCell ref="T840:T841"/>
    <mergeCell ref="U840:U845"/>
    <mergeCell ref="V840:V845"/>
    <mergeCell ref="W840:W845"/>
    <mergeCell ref="X840:X845"/>
    <mergeCell ref="Y840:Y845"/>
    <mergeCell ref="A840:A845"/>
    <mergeCell ref="B840:B841"/>
    <mergeCell ref="C840:E840"/>
    <mergeCell ref="F840:G840"/>
    <mergeCell ref="H840:H845"/>
    <mergeCell ref="J840:J842"/>
    <mergeCell ref="K840:K841"/>
    <mergeCell ref="M840:M841"/>
    <mergeCell ref="AC837:AC839"/>
    <mergeCell ref="B838:B839"/>
    <mergeCell ref="C838:E838"/>
    <mergeCell ref="F838:G838"/>
    <mergeCell ref="K838:K839"/>
    <mergeCell ref="M838:M839"/>
    <mergeCell ref="T838:T839"/>
    <mergeCell ref="AD838:AD839"/>
    <mergeCell ref="C839:E839"/>
    <mergeCell ref="F839:G839"/>
    <mergeCell ref="Z834:Z836"/>
    <mergeCell ref="AA834:AA836"/>
    <mergeCell ref="AB834:AB836"/>
    <mergeCell ref="AC834:AC836"/>
    <mergeCell ref="AD834:AD835"/>
    <mergeCell ref="AE834:AE839"/>
    <mergeCell ref="C835:E835"/>
    <mergeCell ref="F835:G835"/>
    <mergeCell ref="B836:B837"/>
    <mergeCell ref="C836:E836"/>
    <mergeCell ref="F836:G836"/>
    <mergeCell ref="K836:K837"/>
    <mergeCell ref="M836:M837"/>
    <mergeCell ref="T836:T837"/>
    <mergeCell ref="AD836:AD837"/>
    <mergeCell ref="C837:E837"/>
    <mergeCell ref="F837:G837"/>
    <mergeCell ref="J837:J839"/>
    <mergeCell ref="N837:O839"/>
    <mergeCell ref="P837:Q839"/>
    <mergeCell ref="R837:S839"/>
    <mergeCell ref="Z837:Z839"/>
    <mergeCell ref="AA837:AA839"/>
    <mergeCell ref="AB837:AB839"/>
    <mergeCell ref="N834:O836"/>
    <mergeCell ref="P834:Q836"/>
    <mergeCell ref="R834:S836"/>
    <mergeCell ref="T834:T835"/>
    <mergeCell ref="U834:U839"/>
    <mergeCell ref="V834:V839"/>
    <mergeCell ref="W834:W839"/>
    <mergeCell ref="X834:X839"/>
    <mergeCell ref="Y834:Y839"/>
    <mergeCell ref="A834:A839"/>
    <mergeCell ref="B834:B835"/>
    <mergeCell ref="C834:E834"/>
    <mergeCell ref="F834:G834"/>
    <mergeCell ref="H834:H839"/>
    <mergeCell ref="J834:J836"/>
    <mergeCell ref="K834:K835"/>
    <mergeCell ref="M834:M835"/>
    <mergeCell ref="AC843:AC845"/>
    <mergeCell ref="B844:B845"/>
    <mergeCell ref="C844:E844"/>
    <mergeCell ref="F844:G844"/>
    <mergeCell ref="K844:K845"/>
    <mergeCell ref="M830:M831"/>
    <mergeCell ref="T830:T831"/>
    <mergeCell ref="AD830:AD831"/>
    <mergeCell ref="C831:E831"/>
    <mergeCell ref="F831:G831"/>
    <mergeCell ref="Z826:Z828"/>
    <mergeCell ref="AA826:AA828"/>
    <mergeCell ref="AB826:AB828"/>
    <mergeCell ref="AC826:AC828"/>
    <mergeCell ref="AD826:AD827"/>
    <mergeCell ref="AE826:AE831"/>
    <mergeCell ref="C827:E827"/>
    <mergeCell ref="F827:G827"/>
    <mergeCell ref="B828:B829"/>
    <mergeCell ref="C828:E828"/>
    <mergeCell ref="F828:G828"/>
    <mergeCell ref="K828:K829"/>
    <mergeCell ref="M828:M829"/>
    <mergeCell ref="T828:T829"/>
    <mergeCell ref="AD828:AD829"/>
    <mergeCell ref="C829:E829"/>
    <mergeCell ref="F829:G829"/>
    <mergeCell ref="J829:J831"/>
    <mergeCell ref="N829:O831"/>
    <mergeCell ref="P829:Q831"/>
    <mergeCell ref="R829:S831"/>
    <mergeCell ref="Z829:Z831"/>
    <mergeCell ref="AA829:AA831"/>
    <mergeCell ref="AB829:AB831"/>
    <mergeCell ref="N826:O828"/>
    <mergeCell ref="P826:Q828"/>
    <mergeCell ref="R826:S828"/>
    <mergeCell ref="T826:T827"/>
    <mergeCell ref="U826:U831"/>
    <mergeCell ref="V826:V831"/>
    <mergeCell ref="W826:W831"/>
    <mergeCell ref="X826:X831"/>
    <mergeCell ref="Y826:Y831"/>
    <mergeCell ref="A826:A831"/>
    <mergeCell ref="B826:B827"/>
    <mergeCell ref="C826:E826"/>
    <mergeCell ref="F826:G826"/>
    <mergeCell ref="H826:H831"/>
    <mergeCell ref="J826:J828"/>
    <mergeCell ref="K826:K827"/>
    <mergeCell ref="M826:M827"/>
    <mergeCell ref="AC823:AC825"/>
    <mergeCell ref="B824:B825"/>
    <mergeCell ref="C824:E824"/>
    <mergeCell ref="F824:G824"/>
    <mergeCell ref="K824:K825"/>
    <mergeCell ref="M824:M825"/>
    <mergeCell ref="T824:T825"/>
    <mergeCell ref="AD824:AD825"/>
    <mergeCell ref="C825:E825"/>
    <mergeCell ref="F825:G825"/>
    <mergeCell ref="Z820:Z822"/>
    <mergeCell ref="AA820:AA822"/>
    <mergeCell ref="AB820:AB822"/>
    <mergeCell ref="AC820:AC822"/>
    <mergeCell ref="AD820:AD821"/>
    <mergeCell ref="AE820:AE825"/>
    <mergeCell ref="C821:E821"/>
    <mergeCell ref="F821:G821"/>
    <mergeCell ref="B822:B823"/>
    <mergeCell ref="C822:E822"/>
    <mergeCell ref="F822:G822"/>
    <mergeCell ref="K822:K823"/>
    <mergeCell ref="M822:M823"/>
    <mergeCell ref="T822:T823"/>
    <mergeCell ref="AD822:AD823"/>
    <mergeCell ref="C823:E823"/>
    <mergeCell ref="F823:G823"/>
    <mergeCell ref="J823:J825"/>
    <mergeCell ref="N823:O825"/>
    <mergeCell ref="P823:Q825"/>
    <mergeCell ref="R823:S825"/>
    <mergeCell ref="Z823:Z825"/>
    <mergeCell ref="AA823:AA825"/>
    <mergeCell ref="AB823:AB825"/>
    <mergeCell ref="N820:O822"/>
    <mergeCell ref="P820:Q822"/>
    <mergeCell ref="R820:S822"/>
    <mergeCell ref="T820:T821"/>
    <mergeCell ref="U820:U825"/>
    <mergeCell ref="V820:V825"/>
    <mergeCell ref="W820:W825"/>
    <mergeCell ref="X820:X825"/>
    <mergeCell ref="Y820:Y825"/>
    <mergeCell ref="A820:A825"/>
    <mergeCell ref="B820:B821"/>
    <mergeCell ref="C820:E820"/>
    <mergeCell ref="F820:G820"/>
    <mergeCell ref="H820:H825"/>
    <mergeCell ref="J820:J822"/>
    <mergeCell ref="K820:K821"/>
    <mergeCell ref="M820:M821"/>
    <mergeCell ref="AC829:AC831"/>
    <mergeCell ref="B830:B831"/>
    <mergeCell ref="C830:E830"/>
    <mergeCell ref="F830:G830"/>
    <mergeCell ref="K830:K831"/>
    <mergeCell ref="M818:M819"/>
    <mergeCell ref="T818:T819"/>
    <mergeCell ref="AD818:AD819"/>
    <mergeCell ref="C819:E819"/>
    <mergeCell ref="F819:G819"/>
    <mergeCell ref="Z814:Z816"/>
    <mergeCell ref="AA814:AA816"/>
    <mergeCell ref="AB814:AB816"/>
    <mergeCell ref="AC814:AC816"/>
    <mergeCell ref="AD814:AD815"/>
    <mergeCell ref="AE814:AE819"/>
    <mergeCell ref="C815:E815"/>
    <mergeCell ref="F815:G815"/>
    <mergeCell ref="B816:B817"/>
    <mergeCell ref="C816:E816"/>
    <mergeCell ref="F816:G816"/>
    <mergeCell ref="K816:K817"/>
    <mergeCell ref="M816:M817"/>
    <mergeCell ref="T816:T817"/>
    <mergeCell ref="AD816:AD817"/>
    <mergeCell ref="C817:E817"/>
    <mergeCell ref="F817:G817"/>
    <mergeCell ref="J817:J819"/>
    <mergeCell ref="N817:O819"/>
    <mergeCell ref="P817:Q819"/>
    <mergeCell ref="R817:S819"/>
    <mergeCell ref="Z817:Z819"/>
    <mergeCell ref="AA817:AA819"/>
    <mergeCell ref="AB817:AB819"/>
    <mergeCell ref="N814:O816"/>
    <mergeCell ref="P814:Q816"/>
    <mergeCell ref="R814:S816"/>
    <mergeCell ref="T814:T815"/>
    <mergeCell ref="U814:U819"/>
    <mergeCell ref="V814:V819"/>
    <mergeCell ref="W814:W819"/>
    <mergeCell ref="X814:X819"/>
    <mergeCell ref="Y814:Y819"/>
    <mergeCell ref="A814:A819"/>
    <mergeCell ref="B814:B815"/>
    <mergeCell ref="C814:E814"/>
    <mergeCell ref="F814:G814"/>
    <mergeCell ref="H814:H819"/>
    <mergeCell ref="J814:J816"/>
    <mergeCell ref="K814:K815"/>
    <mergeCell ref="M814:M815"/>
    <mergeCell ref="AC811:AC813"/>
    <mergeCell ref="B812:B813"/>
    <mergeCell ref="C812:E812"/>
    <mergeCell ref="F812:G812"/>
    <mergeCell ref="K812:K813"/>
    <mergeCell ref="M812:M813"/>
    <mergeCell ref="T812:T813"/>
    <mergeCell ref="AD812:AD813"/>
    <mergeCell ref="C813:E813"/>
    <mergeCell ref="F813:G813"/>
    <mergeCell ref="Z808:Z810"/>
    <mergeCell ref="AA808:AA810"/>
    <mergeCell ref="AB808:AB810"/>
    <mergeCell ref="AC808:AC810"/>
    <mergeCell ref="AD808:AD809"/>
    <mergeCell ref="AE808:AE813"/>
    <mergeCell ref="C809:E809"/>
    <mergeCell ref="F809:G809"/>
    <mergeCell ref="B810:B811"/>
    <mergeCell ref="C810:E810"/>
    <mergeCell ref="F810:G810"/>
    <mergeCell ref="K810:K811"/>
    <mergeCell ref="M810:M811"/>
    <mergeCell ref="T810:T811"/>
    <mergeCell ref="AD810:AD811"/>
    <mergeCell ref="C811:E811"/>
    <mergeCell ref="F811:G811"/>
    <mergeCell ref="J811:J813"/>
    <mergeCell ref="N811:O813"/>
    <mergeCell ref="P811:Q813"/>
    <mergeCell ref="R811:S813"/>
    <mergeCell ref="Z811:Z813"/>
    <mergeCell ref="AA811:AA813"/>
    <mergeCell ref="AB811:AB813"/>
    <mergeCell ref="N808:O810"/>
    <mergeCell ref="P808:Q810"/>
    <mergeCell ref="R808:S810"/>
    <mergeCell ref="T808:T809"/>
    <mergeCell ref="U808:U813"/>
    <mergeCell ref="V808:V813"/>
    <mergeCell ref="W808:W813"/>
    <mergeCell ref="X808:X813"/>
    <mergeCell ref="Y808:Y813"/>
    <mergeCell ref="A808:A813"/>
    <mergeCell ref="B808:B809"/>
    <mergeCell ref="C808:E808"/>
    <mergeCell ref="F808:G808"/>
    <mergeCell ref="H808:H813"/>
    <mergeCell ref="J808:J810"/>
    <mergeCell ref="K808:K809"/>
    <mergeCell ref="M808:M809"/>
    <mergeCell ref="AC817:AC819"/>
    <mergeCell ref="B818:B819"/>
    <mergeCell ref="C818:E818"/>
    <mergeCell ref="F818:G818"/>
    <mergeCell ref="K818:K819"/>
    <mergeCell ref="M806:M807"/>
    <mergeCell ref="T806:T807"/>
    <mergeCell ref="AD806:AD807"/>
    <mergeCell ref="C807:E807"/>
    <mergeCell ref="F807:G807"/>
    <mergeCell ref="Z802:Z804"/>
    <mergeCell ref="AA802:AA804"/>
    <mergeCell ref="AB802:AB804"/>
    <mergeCell ref="AC802:AC804"/>
    <mergeCell ref="AD802:AD803"/>
    <mergeCell ref="AE802:AE807"/>
    <mergeCell ref="C803:E803"/>
    <mergeCell ref="F803:G803"/>
    <mergeCell ref="B804:B805"/>
    <mergeCell ref="C804:E804"/>
    <mergeCell ref="F804:G804"/>
    <mergeCell ref="K804:K805"/>
    <mergeCell ref="M804:M805"/>
    <mergeCell ref="T804:T805"/>
    <mergeCell ref="AD804:AD805"/>
    <mergeCell ref="C805:E805"/>
    <mergeCell ref="F805:G805"/>
    <mergeCell ref="J805:J807"/>
    <mergeCell ref="N805:O807"/>
    <mergeCell ref="P805:Q807"/>
    <mergeCell ref="R805:S807"/>
    <mergeCell ref="Z805:Z807"/>
    <mergeCell ref="AA805:AA807"/>
    <mergeCell ref="AB805:AB807"/>
    <mergeCell ref="N802:O804"/>
    <mergeCell ref="P802:Q804"/>
    <mergeCell ref="R802:S804"/>
    <mergeCell ref="T802:T803"/>
    <mergeCell ref="U802:U807"/>
    <mergeCell ref="V802:V807"/>
    <mergeCell ref="W802:W807"/>
    <mergeCell ref="X802:X807"/>
    <mergeCell ref="Y802:Y807"/>
    <mergeCell ref="A802:A807"/>
    <mergeCell ref="B802:B803"/>
    <mergeCell ref="C802:E802"/>
    <mergeCell ref="F802:G802"/>
    <mergeCell ref="H802:H807"/>
    <mergeCell ref="J802:J804"/>
    <mergeCell ref="K802:K803"/>
    <mergeCell ref="M802:M803"/>
    <mergeCell ref="AC797:AC799"/>
    <mergeCell ref="B798:B799"/>
    <mergeCell ref="C798:E798"/>
    <mergeCell ref="F798:G798"/>
    <mergeCell ref="K798:K799"/>
    <mergeCell ref="M798:M799"/>
    <mergeCell ref="T798:T799"/>
    <mergeCell ref="AD798:AD799"/>
    <mergeCell ref="C799:E799"/>
    <mergeCell ref="F799:G799"/>
    <mergeCell ref="Z794:Z796"/>
    <mergeCell ref="AA794:AA796"/>
    <mergeCell ref="AB794:AB796"/>
    <mergeCell ref="AC794:AC796"/>
    <mergeCell ref="AD794:AD795"/>
    <mergeCell ref="AE794:AE799"/>
    <mergeCell ref="C795:E795"/>
    <mergeCell ref="F795:G795"/>
    <mergeCell ref="B796:B797"/>
    <mergeCell ref="C796:E796"/>
    <mergeCell ref="F796:G796"/>
    <mergeCell ref="K796:K797"/>
    <mergeCell ref="M796:M797"/>
    <mergeCell ref="T796:T797"/>
    <mergeCell ref="AD796:AD797"/>
    <mergeCell ref="C797:E797"/>
    <mergeCell ref="F797:G797"/>
    <mergeCell ref="J797:J799"/>
    <mergeCell ref="N797:O799"/>
    <mergeCell ref="P797:Q799"/>
    <mergeCell ref="R797:S799"/>
    <mergeCell ref="Z797:Z799"/>
    <mergeCell ref="AA797:AA799"/>
    <mergeCell ref="AB797:AB799"/>
    <mergeCell ref="N794:O796"/>
    <mergeCell ref="P794:Q796"/>
    <mergeCell ref="R794:S796"/>
    <mergeCell ref="T794:T795"/>
    <mergeCell ref="U794:U799"/>
    <mergeCell ref="V794:V799"/>
    <mergeCell ref="W794:W799"/>
    <mergeCell ref="X794:X799"/>
    <mergeCell ref="Y794:Y799"/>
    <mergeCell ref="A794:A799"/>
    <mergeCell ref="B794:B795"/>
    <mergeCell ref="C794:E794"/>
    <mergeCell ref="F794:G794"/>
    <mergeCell ref="H794:H799"/>
    <mergeCell ref="J794:J796"/>
    <mergeCell ref="K794:K795"/>
    <mergeCell ref="M794:M795"/>
    <mergeCell ref="AC805:AC807"/>
    <mergeCell ref="B806:B807"/>
    <mergeCell ref="C806:E806"/>
    <mergeCell ref="F806:G806"/>
    <mergeCell ref="K806:K807"/>
    <mergeCell ref="M792:M793"/>
    <mergeCell ref="T792:T793"/>
    <mergeCell ref="AD792:AD793"/>
    <mergeCell ref="C793:E793"/>
    <mergeCell ref="F793:G793"/>
    <mergeCell ref="Z788:Z790"/>
    <mergeCell ref="AA788:AA790"/>
    <mergeCell ref="AB788:AB790"/>
    <mergeCell ref="AC788:AC790"/>
    <mergeCell ref="AD788:AD789"/>
    <mergeCell ref="AE788:AE793"/>
    <mergeCell ref="C789:E789"/>
    <mergeCell ref="F789:G789"/>
    <mergeCell ref="B790:B791"/>
    <mergeCell ref="C790:E790"/>
    <mergeCell ref="F790:G790"/>
    <mergeCell ref="K790:K791"/>
    <mergeCell ref="M790:M791"/>
    <mergeCell ref="T790:T791"/>
    <mergeCell ref="AD790:AD791"/>
    <mergeCell ref="C791:E791"/>
    <mergeCell ref="F791:G791"/>
    <mergeCell ref="J791:J793"/>
    <mergeCell ref="N791:O793"/>
    <mergeCell ref="P791:Q793"/>
    <mergeCell ref="R791:S793"/>
    <mergeCell ref="Z791:Z793"/>
    <mergeCell ref="AA791:AA793"/>
    <mergeCell ref="AB791:AB793"/>
    <mergeCell ref="N788:O790"/>
    <mergeCell ref="P788:Q790"/>
    <mergeCell ref="R788:S790"/>
    <mergeCell ref="T788:T789"/>
    <mergeCell ref="U788:U793"/>
    <mergeCell ref="V788:V793"/>
    <mergeCell ref="W788:W793"/>
    <mergeCell ref="X788:X793"/>
    <mergeCell ref="Y788:Y793"/>
    <mergeCell ref="I788:I790"/>
    <mergeCell ref="I791:I793"/>
    <mergeCell ref="A788:A793"/>
    <mergeCell ref="B788:B789"/>
    <mergeCell ref="C788:E788"/>
    <mergeCell ref="F788:G788"/>
    <mergeCell ref="H788:H793"/>
    <mergeCell ref="J788:J790"/>
    <mergeCell ref="K788:K789"/>
    <mergeCell ref="M788:M789"/>
    <mergeCell ref="AC785:AC787"/>
    <mergeCell ref="B786:B787"/>
    <mergeCell ref="C786:E786"/>
    <mergeCell ref="F786:G786"/>
    <mergeCell ref="K786:K787"/>
    <mergeCell ref="M786:M787"/>
    <mergeCell ref="T786:T787"/>
    <mergeCell ref="AD786:AD787"/>
    <mergeCell ref="C787:E787"/>
    <mergeCell ref="F787:G787"/>
    <mergeCell ref="Z782:Z784"/>
    <mergeCell ref="AA782:AA784"/>
    <mergeCell ref="AB782:AB784"/>
    <mergeCell ref="AC782:AC784"/>
    <mergeCell ref="AD782:AD783"/>
    <mergeCell ref="AE782:AE787"/>
    <mergeCell ref="C783:E783"/>
    <mergeCell ref="F783:G783"/>
    <mergeCell ref="B784:B785"/>
    <mergeCell ref="C784:E784"/>
    <mergeCell ref="F784:G784"/>
    <mergeCell ref="K784:K785"/>
    <mergeCell ref="M784:M785"/>
    <mergeCell ref="T784:T785"/>
    <mergeCell ref="AD784:AD785"/>
    <mergeCell ref="C785:E785"/>
    <mergeCell ref="F785:G785"/>
    <mergeCell ref="J785:J787"/>
    <mergeCell ref="N785:O787"/>
    <mergeCell ref="P785:Q787"/>
    <mergeCell ref="R785:S787"/>
    <mergeCell ref="Z785:Z787"/>
    <mergeCell ref="AA785:AA787"/>
    <mergeCell ref="AB785:AB787"/>
    <mergeCell ref="N782:O784"/>
    <mergeCell ref="P782:Q784"/>
    <mergeCell ref="R782:S784"/>
    <mergeCell ref="T782:T783"/>
    <mergeCell ref="U782:U787"/>
    <mergeCell ref="V782:V787"/>
    <mergeCell ref="W782:W787"/>
    <mergeCell ref="X782:X787"/>
    <mergeCell ref="Y782:Y787"/>
    <mergeCell ref="A782:A787"/>
    <mergeCell ref="B782:B783"/>
    <mergeCell ref="C782:E782"/>
    <mergeCell ref="F782:G782"/>
    <mergeCell ref="H782:H787"/>
    <mergeCell ref="J782:J784"/>
    <mergeCell ref="K782:K783"/>
    <mergeCell ref="M782:M783"/>
    <mergeCell ref="AC791:AC793"/>
    <mergeCell ref="B792:B793"/>
    <mergeCell ref="C792:E792"/>
    <mergeCell ref="F792:G792"/>
    <mergeCell ref="K792:K793"/>
    <mergeCell ref="M780:M781"/>
    <mergeCell ref="T780:T781"/>
    <mergeCell ref="AD780:AD781"/>
    <mergeCell ref="C781:E781"/>
    <mergeCell ref="F781:G781"/>
    <mergeCell ref="Z776:Z778"/>
    <mergeCell ref="AA776:AA778"/>
    <mergeCell ref="AB776:AB778"/>
    <mergeCell ref="AC776:AC778"/>
    <mergeCell ref="AD776:AD777"/>
    <mergeCell ref="AE776:AE781"/>
    <mergeCell ref="C777:E777"/>
    <mergeCell ref="F777:G777"/>
    <mergeCell ref="B778:B779"/>
    <mergeCell ref="C778:E778"/>
    <mergeCell ref="F778:G778"/>
    <mergeCell ref="K778:K779"/>
    <mergeCell ref="M778:M779"/>
    <mergeCell ref="T778:T779"/>
    <mergeCell ref="AD778:AD779"/>
    <mergeCell ref="C779:E779"/>
    <mergeCell ref="F779:G779"/>
    <mergeCell ref="J779:J781"/>
    <mergeCell ref="N779:O781"/>
    <mergeCell ref="P779:Q781"/>
    <mergeCell ref="R779:S781"/>
    <mergeCell ref="Z779:Z781"/>
    <mergeCell ref="AA779:AA781"/>
    <mergeCell ref="AB779:AB781"/>
    <mergeCell ref="N776:O778"/>
    <mergeCell ref="P776:Q778"/>
    <mergeCell ref="R776:S778"/>
    <mergeCell ref="T776:T777"/>
    <mergeCell ref="U776:U781"/>
    <mergeCell ref="V776:V781"/>
    <mergeCell ref="W776:W781"/>
    <mergeCell ref="X776:X781"/>
    <mergeCell ref="Y776:Y781"/>
    <mergeCell ref="A776:A781"/>
    <mergeCell ref="B776:B777"/>
    <mergeCell ref="C776:E776"/>
    <mergeCell ref="F776:G776"/>
    <mergeCell ref="H776:H781"/>
    <mergeCell ref="J776:J778"/>
    <mergeCell ref="K776:K777"/>
    <mergeCell ref="M776:M777"/>
    <mergeCell ref="AC773:AC775"/>
    <mergeCell ref="B774:B775"/>
    <mergeCell ref="C774:E774"/>
    <mergeCell ref="F774:G774"/>
    <mergeCell ref="K774:K775"/>
    <mergeCell ref="M774:M775"/>
    <mergeCell ref="T774:T775"/>
    <mergeCell ref="AD774:AD775"/>
    <mergeCell ref="C775:E775"/>
    <mergeCell ref="F775:G775"/>
    <mergeCell ref="Z770:Z772"/>
    <mergeCell ref="AA770:AA772"/>
    <mergeCell ref="AB770:AB772"/>
    <mergeCell ref="AC770:AC772"/>
    <mergeCell ref="AD770:AD771"/>
    <mergeCell ref="AE770:AE775"/>
    <mergeCell ref="C771:E771"/>
    <mergeCell ref="F771:G771"/>
    <mergeCell ref="B772:B773"/>
    <mergeCell ref="C772:E772"/>
    <mergeCell ref="F772:G772"/>
    <mergeCell ref="K772:K773"/>
    <mergeCell ref="M772:M773"/>
    <mergeCell ref="T772:T773"/>
    <mergeCell ref="AD772:AD773"/>
    <mergeCell ref="C773:E773"/>
    <mergeCell ref="F773:G773"/>
    <mergeCell ref="J773:J775"/>
    <mergeCell ref="N773:O775"/>
    <mergeCell ref="P773:Q775"/>
    <mergeCell ref="R773:S775"/>
    <mergeCell ref="Z773:Z775"/>
    <mergeCell ref="AA773:AA775"/>
    <mergeCell ref="AB773:AB775"/>
    <mergeCell ref="N770:O772"/>
    <mergeCell ref="P770:Q772"/>
    <mergeCell ref="R770:S772"/>
    <mergeCell ref="T770:T771"/>
    <mergeCell ref="U770:U775"/>
    <mergeCell ref="V770:V775"/>
    <mergeCell ref="W770:W775"/>
    <mergeCell ref="X770:X775"/>
    <mergeCell ref="Y770:Y775"/>
    <mergeCell ref="A770:A775"/>
    <mergeCell ref="B770:B771"/>
    <mergeCell ref="C770:E770"/>
    <mergeCell ref="F770:G770"/>
    <mergeCell ref="H770:H775"/>
    <mergeCell ref="J770:J772"/>
    <mergeCell ref="K770:K771"/>
    <mergeCell ref="M770:M771"/>
    <mergeCell ref="AC779:AC781"/>
    <mergeCell ref="B780:B781"/>
    <mergeCell ref="C780:E780"/>
    <mergeCell ref="F780:G780"/>
    <mergeCell ref="K780:K781"/>
    <mergeCell ref="M766:M767"/>
    <mergeCell ref="T766:T767"/>
    <mergeCell ref="AD766:AD767"/>
    <mergeCell ref="C767:E767"/>
    <mergeCell ref="F767:G767"/>
    <mergeCell ref="Z762:Z764"/>
    <mergeCell ref="AA762:AA764"/>
    <mergeCell ref="AB762:AB764"/>
    <mergeCell ref="AC762:AC764"/>
    <mergeCell ref="AD762:AD763"/>
    <mergeCell ref="AE762:AE767"/>
    <mergeCell ref="C763:E763"/>
    <mergeCell ref="F763:G763"/>
    <mergeCell ref="B764:B765"/>
    <mergeCell ref="C764:E764"/>
    <mergeCell ref="F764:G764"/>
    <mergeCell ref="K764:K765"/>
    <mergeCell ref="M764:M765"/>
    <mergeCell ref="T764:T765"/>
    <mergeCell ref="AD764:AD765"/>
    <mergeCell ref="C765:E765"/>
    <mergeCell ref="F765:G765"/>
    <mergeCell ref="J765:J767"/>
    <mergeCell ref="N765:O767"/>
    <mergeCell ref="P765:Q767"/>
    <mergeCell ref="R765:S767"/>
    <mergeCell ref="Z765:Z767"/>
    <mergeCell ref="AA765:AA767"/>
    <mergeCell ref="AB765:AB767"/>
    <mergeCell ref="N762:O764"/>
    <mergeCell ref="P762:Q764"/>
    <mergeCell ref="R762:S764"/>
    <mergeCell ref="T762:T763"/>
    <mergeCell ref="U762:U767"/>
    <mergeCell ref="V762:V767"/>
    <mergeCell ref="W762:W767"/>
    <mergeCell ref="X762:X767"/>
    <mergeCell ref="Y762:Y767"/>
    <mergeCell ref="A762:A767"/>
    <mergeCell ref="B762:B763"/>
    <mergeCell ref="C762:E762"/>
    <mergeCell ref="F762:G762"/>
    <mergeCell ref="H762:H767"/>
    <mergeCell ref="J762:J764"/>
    <mergeCell ref="K762:K763"/>
    <mergeCell ref="M762:M763"/>
    <mergeCell ref="AC759:AC761"/>
    <mergeCell ref="B760:B761"/>
    <mergeCell ref="C760:E760"/>
    <mergeCell ref="F760:G760"/>
    <mergeCell ref="K760:K761"/>
    <mergeCell ref="M760:M761"/>
    <mergeCell ref="T760:T761"/>
    <mergeCell ref="AD760:AD761"/>
    <mergeCell ref="C761:E761"/>
    <mergeCell ref="F761:G761"/>
    <mergeCell ref="Z756:Z758"/>
    <mergeCell ref="AA756:AA758"/>
    <mergeCell ref="AB756:AB758"/>
    <mergeCell ref="AC756:AC758"/>
    <mergeCell ref="AD756:AD757"/>
    <mergeCell ref="AE756:AE761"/>
    <mergeCell ref="C757:E757"/>
    <mergeCell ref="F757:G757"/>
    <mergeCell ref="B758:B759"/>
    <mergeCell ref="C758:E758"/>
    <mergeCell ref="F758:G758"/>
    <mergeCell ref="K758:K759"/>
    <mergeCell ref="M758:M759"/>
    <mergeCell ref="T758:T759"/>
    <mergeCell ref="AD758:AD759"/>
    <mergeCell ref="C759:E759"/>
    <mergeCell ref="F759:G759"/>
    <mergeCell ref="J759:J761"/>
    <mergeCell ref="N759:O761"/>
    <mergeCell ref="P759:Q761"/>
    <mergeCell ref="R759:S761"/>
    <mergeCell ref="Z759:Z761"/>
    <mergeCell ref="AA759:AA761"/>
    <mergeCell ref="AB759:AB761"/>
    <mergeCell ref="N756:O758"/>
    <mergeCell ref="P756:Q758"/>
    <mergeCell ref="R756:S758"/>
    <mergeCell ref="T756:T757"/>
    <mergeCell ref="U756:U761"/>
    <mergeCell ref="V756:V761"/>
    <mergeCell ref="W756:W761"/>
    <mergeCell ref="X756:X761"/>
    <mergeCell ref="Y756:Y761"/>
    <mergeCell ref="A756:A761"/>
    <mergeCell ref="B756:B757"/>
    <mergeCell ref="C756:E756"/>
    <mergeCell ref="F756:G756"/>
    <mergeCell ref="H756:H761"/>
    <mergeCell ref="J756:J758"/>
    <mergeCell ref="K756:K757"/>
    <mergeCell ref="M756:M757"/>
    <mergeCell ref="AC765:AC767"/>
    <mergeCell ref="B766:B767"/>
    <mergeCell ref="C766:E766"/>
    <mergeCell ref="F766:G766"/>
    <mergeCell ref="K766:K767"/>
    <mergeCell ref="M754:M755"/>
    <mergeCell ref="T754:T755"/>
    <mergeCell ref="AD754:AD755"/>
    <mergeCell ref="C755:E755"/>
    <mergeCell ref="F755:G755"/>
    <mergeCell ref="Z750:Z752"/>
    <mergeCell ref="AA750:AA752"/>
    <mergeCell ref="AB750:AB752"/>
    <mergeCell ref="AC750:AC752"/>
    <mergeCell ref="AD750:AD751"/>
    <mergeCell ref="AE750:AE755"/>
    <mergeCell ref="C751:E751"/>
    <mergeCell ref="F751:G751"/>
    <mergeCell ref="B752:B753"/>
    <mergeCell ref="C752:E752"/>
    <mergeCell ref="F752:G752"/>
    <mergeCell ref="K752:K753"/>
    <mergeCell ref="M752:M753"/>
    <mergeCell ref="T752:T753"/>
    <mergeCell ref="AD752:AD753"/>
    <mergeCell ref="C753:E753"/>
    <mergeCell ref="F753:G753"/>
    <mergeCell ref="J753:J755"/>
    <mergeCell ref="N753:O755"/>
    <mergeCell ref="P753:Q755"/>
    <mergeCell ref="R753:S755"/>
    <mergeCell ref="Z753:Z755"/>
    <mergeCell ref="AA753:AA755"/>
    <mergeCell ref="AB753:AB755"/>
    <mergeCell ref="N750:O752"/>
    <mergeCell ref="P750:Q752"/>
    <mergeCell ref="R750:S752"/>
    <mergeCell ref="T750:T751"/>
    <mergeCell ref="U750:U755"/>
    <mergeCell ref="V750:V755"/>
    <mergeCell ref="W750:W755"/>
    <mergeCell ref="X750:X755"/>
    <mergeCell ref="Y750:Y755"/>
    <mergeCell ref="A750:A755"/>
    <mergeCell ref="B750:B751"/>
    <mergeCell ref="C750:E750"/>
    <mergeCell ref="F750:G750"/>
    <mergeCell ref="H750:H755"/>
    <mergeCell ref="J750:J752"/>
    <mergeCell ref="K750:K751"/>
    <mergeCell ref="M750:M751"/>
    <mergeCell ref="AC747:AC749"/>
    <mergeCell ref="B748:B749"/>
    <mergeCell ref="C748:E748"/>
    <mergeCell ref="F748:G748"/>
    <mergeCell ref="K748:K749"/>
    <mergeCell ref="M748:M749"/>
    <mergeCell ref="T748:T749"/>
    <mergeCell ref="AD748:AD749"/>
    <mergeCell ref="C749:E749"/>
    <mergeCell ref="F749:G749"/>
    <mergeCell ref="Z744:Z746"/>
    <mergeCell ref="AA744:AA746"/>
    <mergeCell ref="AB744:AB746"/>
    <mergeCell ref="AC744:AC746"/>
    <mergeCell ref="AD744:AD745"/>
    <mergeCell ref="AE744:AE749"/>
    <mergeCell ref="C745:E745"/>
    <mergeCell ref="F745:G745"/>
    <mergeCell ref="B746:B747"/>
    <mergeCell ref="C746:E746"/>
    <mergeCell ref="F746:G746"/>
    <mergeCell ref="K746:K747"/>
    <mergeCell ref="M746:M747"/>
    <mergeCell ref="T746:T747"/>
    <mergeCell ref="AD746:AD747"/>
    <mergeCell ref="C747:E747"/>
    <mergeCell ref="F747:G747"/>
    <mergeCell ref="J747:J749"/>
    <mergeCell ref="N747:O749"/>
    <mergeCell ref="P747:Q749"/>
    <mergeCell ref="R747:S749"/>
    <mergeCell ref="Z747:Z749"/>
    <mergeCell ref="AA747:AA749"/>
    <mergeCell ref="AB747:AB749"/>
    <mergeCell ref="N744:O746"/>
    <mergeCell ref="P744:Q746"/>
    <mergeCell ref="R744:S746"/>
    <mergeCell ref="T744:T745"/>
    <mergeCell ref="U744:U749"/>
    <mergeCell ref="V744:V749"/>
    <mergeCell ref="W744:W749"/>
    <mergeCell ref="X744:X749"/>
    <mergeCell ref="Y744:Y749"/>
    <mergeCell ref="A744:A749"/>
    <mergeCell ref="B744:B745"/>
    <mergeCell ref="C744:E744"/>
    <mergeCell ref="F744:G744"/>
    <mergeCell ref="H744:H749"/>
    <mergeCell ref="J744:J746"/>
    <mergeCell ref="K744:K745"/>
    <mergeCell ref="M744:M745"/>
    <mergeCell ref="AC753:AC755"/>
    <mergeCell ref="B754:B755"/>
    <mergeCell ref="C754:E754"/>
    <mergeCell ref="F754:G754"/>
    <mergeCell ref="K754:K755"/>
    <mergeCell ref="M742:M743"/>
    <mergeCell ref="T742:T743"/>
    <mergeCell ref="AD742:AD743"/>
    <mergeCell ref="C743:E743"/>
    <mergeCell ref="F743:G743"/>
    <mergeCell ref="Z738:Z740"/>
    <mergeCell ref="AA738:AA740"/>
    <mergeCell ref="AB738:AB740"/>
    <mergeCell ref="AC738:AC740"/>
    <mergeCell ref="AD738:AD739"/>
    <mergeCell ref="AE738:AE743"/>
    <mergeCell ref="C739:E739"/>
    <mergeCell ref="F739:G739"/>
    <mergeCell ref="B740:B741"/>
    <mergeCell ref="C740:E740"/>
    <mergeCell ref="F740:G740"/>
    <mergeCell ref="K740:K741"/>
    <mergeCell ref="M740:M741"/>
    <mergeCell ref="T740:T741"/>
    <mergeCell ref="AD740:AD741"/>
    <mergeCell ref="C741:E741"/>
    <mergeCell ref="F741:G741"/>
    <mergeCell ref="J741:J743"/>
    <mergeCell ref="N741:O743"/>
    <mergeCell ref="P741:Q743"/>
    <mergeCell ref="R741:S743"/>
    <mergeCell ref="Z741:Z743"/>
    <mergeCell ref="AA741:AA743"/>
    <mergeCell ref="AB741:AB743"/>
    <mergeCell ref="N738:O740"/>
    <mergeCell ref="P738:Q740"/>
    <mergeCell ref="R738:S740"/>
    <mergeCell ref="T738:T739"/>
    <mergeCell ref="U738:U743"/>
    <mergeCell ref="V738:V743"/>
    <mergeCell ref="W738:W743"/>
    <mergeCell ref="X738:X743"/>
    <mergeCell ref="Y738:Y743"/>
    <mergeCell ref="A738:A743"/>
    <mergeCell ref="B738:B739"/>
    <mergeCell ref="C738:E738"/>
    <mergeCell ref="F738:G738"/>
    <mergeCell ref="H738:H743"/>
    <mergeCell ref="J738:J740"/>
    <mergeCell ref="K738:K739"/>
    <mergeCell ref="M738:M739"/>
    <mergeCell ref="AC733:AC735"/>
    <mergeCell ref="B734:B735"/>
    <mergeCell ref="C734:E734"/>
    <mergeCell ref="F734:G734"/>
    <mergeCell ref="K734:K735"/>
    <mergeCell ref="M734:M735"/>
    <mergeCell ref="T734:T735"/>
    <mergeCell ref="AD734:AD735"/>
    <mergeCell ref="C735:E735"/>
    <mergeCell ref="F735:G735"/>
    <mergeCell ref="Z730:Z732"/>
    <mergeCell ref="AA730:AA732"/>
    <mergeCell ref="AB730:AB732"/>
    <mergeCell ref="AC730:AC732"/>
    <mergeCell ref="AD730:AD731"/>
    <mergeCell ref="AE730:AE735"/>
    <mergeCell ref="C731:E731"/>
    <mergeCell ref="F731:G731"/>
    <mergeCell ref="B732:B733"/>
    <mergeCell ref="C732:E732"/>
    <mergeCell ref="F732:G732"/>
    <mergeCell ref="K732:K733"/>
    <mergeCell ref="M732:M733"/>
    <mergeCell ref="T732:T733"/>
    <mergeCell ref="AD732:AD733"/>
    <mergeCell ref="C733:E733"/>
    <mergeCell ref="F733:G733"/>
    <mergeCell ref="J733:J735"/>
    <mergeCell ref="N733:O735"/>
    <mergeCell ref="P733:Q735"/>
    <mergeCell ref="R733:S735"/>
    <mergeCell ref="Z733:Z735"/>
    <mergeCell ref="AA733:AA735"/>
    <mergeCell ref="AB733:AB735"/>
    <mergeCell ref="N730:O732"/>
    <mergeCell ref="P730:Q732"/>
    <mergeCell ref="R730:S732"/>
    <mergeCell ref="T730:T731"/>
    <mergeCell ref="U730:U735"/>
    <mergeCell ref="V730:V735"/>
    <mergeCell ref="W730:W735"/>
    <mergeCell ref="X730:X735"/>
    <mergeCell ref="Y730:Y735"/>
    <mergeCell ref="A730:A735"/>
    <mergeCell ref="B730:B731"/>
    <mergeCell ref="C730:E730"/>
    <mergeCell ref="F730:G730"/>
    <mergeCell ref="H730:H735"/>
    <mergeCell ref="J730:J732"/>
    <mergeCell ref="K730:K731"/>
    <mergeCell ref="M730:M731"/>
    <mergeCell ref="AC741:AC743"/>
    <mergeCell ref="B742:B743"/>
    <mergeCell ref="C742:E742"/>
    <mergeCell ref="F742:G742"/>
    <mergeCell ref="K742:K743"/>
    <mergeCell ref="M728:M729"/>
    <mergeCell ref="T728:T729"/>
    <mergeCell ref="AD728:AD729"/>
    <mergeCell ref="C729:E729"/>
    <mergeCell ref="F729:G729"/>
    <mergeCell ref="Z724:Z726"/>
    <mergeCell ref="AA724:AA726"/>
    <mergeCell ref="AB724:AB726"/>
    <mergeCell ref="AC724:AC726"/>
    <mergeCell ref="AD724:AD725"/>
    <mergeCell ref="AE724:AE729"/>
    <mergeCell ref="C725:E725"/>
    <mergeCell ref="F725:G725"/>
    <mergeCell ref="B726:B727"/>
    <mergeCell ref="C726:E726"/>
    <mergeCell ref="F726:G726"/>
    <mergeCell ref="K726:K727"/>
    <mergeCell ref="M726:M727"/>
    <mergeCell ref="T726:T727"/>
    <mergeCell ref="AD726:AD727"/>
    <mergeCell ref="C727:E727"/>
    <mergeCell ref="F727:G727"/>
    <mergeCell ref="J727:J729"/>
    <mergeCell ref="N727:O729"/>
    <mergeCell ref="P727:Q729"/>
    <mergeCell ref="R727:S729"/>
    <mergeCell ref="Z727:Z729"/>
    <mergeCell ref="AA727:AA729"/>
    <mergeCell ref="AB727:AB729"/>
    <mergeCell ref="N724:O726"/>
    <mergeCell ref="P724:Q726"/>
    <mergeCell ref="R724:S726"/>
    <mergeCell ref="T724:T725"/>
    <mergeCell ref="U724:U729"/>
    <mergeCell ref="V724:V729"/>
    <mergeCell ref="W724:W729"/>
    <mergeCell ref="X724:X729"/>
    <mergeCell ref="Y724:Y729"/>
    <mergeCell ref="A724:A729"/>
    <mergeCell ref="B724:B725"/>
    <mergeCell ref="C724:E724"/>
    <mergeCell ref="F724:G724"/>
    <mergeCell ref="H724:H729"/>
    <mergeCell ref="J724:J726"/>
    <mergeCell ref="K724:K725"/>
    <mergeCell ref="M724:M725"/>
    <mergeCell ref="AC721:AC723"/>
    <mergeCell ref="B722:B723"/>
    <mergeCell ref="C722:E722"/>
    <mergeCell ref="F722:G722"/>
    <mergeCell ref="K722:K723"/>
    <mergeCell ref="M722:M723"/>
    <mergeCell ref="T722:T723"/>
    <mergeCell ref="AD722:AD723"/>
    <mergeCell ref="C723:E723"/>
    <mergeCell ref="F723:G723"/>
    <mergeCell ref="Z718:Z720"/>
    <mergeCell ref="AA718:AA720"/>
    <mergeCell ref="AB718:AB720"/>
    <mergeCell ref="AC718:AC720"/>
    <mergeCell ref="AD718:AD719"/>
    <mergeCell ref="AE718:AE723"/>
    <mergeCell ref="C719:E719"/>
    <mergeCell ref="F719:G719"/>
    <mergeCell ref="B720:B721"/>
    <mergeCell ref="C720:E720"/>
    <mergeCell ref="F720:G720"/>
    <mergeCell ref="K720:K721"/>
    <mergeCell ref="M720:M721"/>
    <mergeCell ref="T720:T721"/>
    <mergeCell ref="AD720:AD721"/>
    <mergeCell ref="C721:E721"/>
    <mergeCell ref="F721:G721"/>
    <mergeCell ref="J721:J723"/>
    <mergeCell ref="N721:O723"/>
    <mergeCell ref="P721:Q723"/>
    <mergeCell ref="R721:S723"/>
    <mergeCell ref="Z721:Z723"/>
    <mergeCell ref="AA721:AA723"/>
    <mergeCell ref="AB721:AB723"/>
    <mergeCell ref="N718:O720"/>
    <mergeCell ref="P718:Q720"/>
    <mergeCell ref="R718:S720"/>
    <mergeCell ref="T718:T719"/>
    <mergeCell ref="U718:U723"/>
    <mergeCell ref="V718:V723"/>
    <mergeCell ref="W718:W723"/>
    <mergeCell ref="X718:X723"/>
    <mergeCell ref="Y718:Y723"/>
    <mergeCell ref="A718:A723"/>
    <mergeCell ref="B718:B719"/>
    <mergeCell ref="C718:E718"/>
    <mergeCell ref="F718:G718"/>
    <mergeCell ref="H718:H723"/>
    <mergeCell ref="J718:J720"/>
    <mergeCell ref="K718:K719"/>
    <mergeCell ref="M718:M719"/>
    <mergeCell ref="AC727:AC729"/>
    <mergeCell ref="B728:B729"/>
    <mergeCell ref="C728:E728"/>
    <mergeCell ref="F728:G728"/>
    <mergeCell ref="K728:K729"/>
    <mergeCell ref="M716:M717"/>
    <mergeCell ref="T716:T717"/>
    <mergeCell ref="AD716:AD717"/>
    <mergeCell ref="C717:E717"/>
    <mergeCell ref="F717:G717"/>
    <mergeCell ref="Z712:Z714"/>
    <mergeCell ref="AA712:AA714"/>
    <mergeCell ref="AB712:AB714"/>
    <mergeCell ref="AC712:AC714"/>
    <mergeCell ref="AD712:AD713"/>
    <mergeCell ref="AE712:AE717"/>
    <mergeCell ref="C713:E713"/>
    <mergeCell ref="F713:G713"/>
    <mergeCell ref="B714:B715"/>
    <mergeCell ref="C714:E714"/>
    <mergeCell ref="F714:G714"/>
    <mergeCell ref="K714:K715"/>
    <mergeCell ref="M714:M715"/>
    <mergeCell ref="T714:T715"/>
    <mergeCell ref="AD714:AD715"/>
    <mergeCell ref="C715:E715"/>
    <mergeCell ref="F715:G715"/>
    <mergeCell ref="J715:J717"/>
    <mergeCell ref="N715:O717"/>
    <mergeCell ref="P715:Q717"/>
    <mergeCell ref="R715:S717"/>
    <mergeCell ref="Z715:Z717"/>
    <mergeCell ref="AA715:AA717"/>
    <mergeCell ref="AB715:AB717"/>
    <mergeCell ref="N712:O714"/>
    <mergeCell ref="P712:Q714"/>
    <mergeCell ref="R712:S714"/>
    <mergeCell ref="T712:T713"/>
    <mergeCell ref="U712:U717"/>
    <mergeCell ref="V712:V717"/>
    <mergeCell ref="W712:W717"/>
    <mergeCell ref="X712:X717"/>
    <mergeCell ref="Y712:Y717"/>
    <mergeCell ref="A712:A717"/>
    <mergeCell ref="B712:B713"/>
    <mergeCell ref="C712:E712"/>
    <mergeCell ref="F712:G712"/>
    <mergeCell ref="H712:H717"/>
    <mergeCell ref="J712:J714"/>
    <mergeCell ref="K712:K713"/>
    <mergeCell ref="M712:M713"/>
    <mergeCell ref="AC709:AC711"/>
    <mergeCell ref="B710:B711"/>
    <mergeCell ref="C710:E710"/>
    <mergeCell ref="F710:G710"/>
    <mergeCell ref="K710:K711"/>
    <mergeCell ref="M710:M711"/>
    <mergeCell ref="T710:T711"/>
    <mergeCell ref="AD710:AD711"/>
    <mergeCell ref="C711:E711"/>
    <mergeCell ref="F711:G711"/>
    <mergeCell ref="Z706:Z708"/>
    <mergeCell ref="AA706:AA708"/>
    <mergeCell ref="AB706:AB708"/>
    <mergeCell ref="AC706:AC708"/>
    <mergeCell ref="AD706:AD707"/>
    <mergeCell ref="AE706:AE711"/>
    <mergeCell ref="C707:E707"/>
    <mergeCell ref="F707:G707"/>
    <mergeCell ref="B708:B709"/>
    <mergeCell ref="C708:E708"/>
    <mergeCell ref="F708:G708"/>
    <mergeCell ref="K708:K709"/>
    <mergeCell ref="M708:M709"/>
    <mergeCell ref="T708:T709"/>
    <mergeCell ref="AD708:AD709"/>
    <mergeCell ref="C709:E709"/>
    <mergeCell ref="F709:G709"/>
    <mergeCell ref="J709:J711"/>
    <mergeCell ref="N709:O711"/>
    <mergeCell ref="P709:Q711"/>
    <mergeCell ref="R709:S711"/>
    <mergeCell ref="Z709:Z711"/>
    <mergeCell ref="AA709:AA711"/>
    <mergeCell ref="AB709:AB711"/>
    <mergeCell ref="N706:O708"/>
    <mergeCell ref="P706:Q708"/>
    <mergeCell ref="R706:S708"/>
    <mergeCell ref="T706:T707"/>
    <mergeCell ref="U706:U711"/>
    <mergeCell ref="V706:V711"/>
    <mergeCell ref="W706:W711"/>
    <mergeCell ref="X706:X711"/>
    <mergeCell ref="Y706:Y711"/>
    <mergeCell ref="A706:A711"/>
    <mergeCell ref="B706:B707"/>
    <mergeCell ref="C706:E706"/>
    <mergeCell ref="F706:G706"/>
    <mergeCell ref="H706:H711"/>
    <mergeCell ref="J706:J708"/>
    <mergeCell ref="K706:K707"/>
    <mergeCell ref="M706:M707"/>
    <mergeCell ref="AC715:AC717"/>
    <mergeCell ref="B716:B717"/>
    <mergeCell ref="C716:E716"/>
    <mergeCell ref="F716:G716"/>
    <mergeCell ref="K716:K717"/>
    <mergeCell ref="M702:M703"/>
    <mergeCell ref="T702:T703"/>
    <mergeCell ref="AD702:AD703"/>
    <mergeCell ref="C703:E703"/>
    <mergeCell ref="F703:G703"/>
    <mergeCell ref="Z698:Z700"/>
    <mergeCell ref="AA698:AA700"/>
    <mergeCell ref="AB698:AB700"/>
    <mergeCell ref="AC698:AC700"/>
    <mergeCell ref="AD698:AD699"/>
    <mergeCell ref="AE698:AE703"/>
    <mergeCell ref="C699:E699"/>
    <mergeCell ref="F699:G699"/>
    <mergeCell ref="B700:B701"/>
    <mergeCell ref="C700:E700"/>
    <mergeCell ref="F700:G700"/>
    <mergeCell ref="K700:K701"/>
    <mergeCell ref="M700:M701"/>
    <mergeCell ref="T700:T701"/>
    <mergeCell ref="AD700:AD701"/>
    <mergeCell ref="C701:E701"/>
    <mergeCell ref="F701:G701"/>
    <mergeCell ref="J701:J703"/>
    <mergeCell ref="N701:O703"/>
    <mergeCell ref="P701:Q703"/>
    <mergeCell ref="R701:S703"/>
    <mergeCell ref="Z701:Z703"/>
    <mergeCell ref="AA701:AA703"/>
    <mergeCell ref="AB701:AB703"/>
    <mergeCell ref="N698:O700"/>
    <mergeCell ref="P698:Q700"/>
    <mergeCell ref="R698:S700"/>
    <mergeCell ref="T698:T699"/>
    <mergeCell ref="U698:U703"/>
    <mergeCell ref="V698:V703"/>
    <mergeCell ref="W698:W703"/>
    <mergeCell ref="X698:X703"/>
    <mergeCell ref="Y698:Y703"/>
    <mergeCell ref="A698:A703"/>
    <mergeCell ref="B698:B699"/>
    <mergeCell ref="C698:E698"/>
    <mergeCell ref="F698:G698"/>
    <mergeCell ref="H698:H703"/>
    <mergeCell ref="J698:J700"/>
    <mergeCell ref="K698:K699"/>
    <mergeCell ref="M698:M699"/>
    <mergeCell ref="AC695:AC697"/>
    <mergeCell ref="B696:B697"/>
    <mergeCell ref="C696:E696"/>
    <mergeCell ref="F696:G696"/>
    <mergeCell ref="K696:K697"/>
    <mergeCell ref="M696:M697"/>
    <mergeCell ref="T696:T697"/>
    <mergeCell ref="AD696:AD697"/>
    <mergeCell ref="C697:E697"/>
    <mergeCell ref="F697:G697"/>
    <mergeCell ref="Z692:Z694"/>
    <mergeCell ref="AA692:AA694"/>
    <mergeCell ref="AB692:AB694"/>
    <mergeCell ref="AC692:AC694"/>
    <mergeCell ref="AD692:AD693"/>
    <mergeCell ref="AE692:AE697"/>
    <mergeCell ref="C693:E693"/>
    <mergeCell ref="F693:G693"/>
    <mergeCell ref="B694:B695"/>
    <mergeCell ref="C694:E694"/>
    <mergeCell ref="F694:G694"/>
    <mergeCell ref="K694:K695"/>
    <mergeCell ref="M694:M695"/>
    <mergeCell ref="T694:T695"/>
    <mergeCell ref="AD694:AD695"/>
    <mergeCell ref="C695:E695"/>
    <mergeCell ref="F695:G695"/>
    <mergeCell ref="J695:J697"/>
    <mergeCell ref="N695:O697"/>
    <mergeCell ref="P695:Q697"/>
    <mergeCell ref="R695:S697"/>
    <mergeCell ref="Z695:Z697"/>
    <mergeCell ref="AA695:AA697"/>
    <mergeCell ref="AB695:AB697"/>
    <mergeCell ref="N692:O694"/>
    <mergeCell ref="P692:Q694"/>
    <mergeCell ref="R692:S694"/>
    <mergeCell ref="T692:T693"/>
    <mergeCell ref="U692:U697"/>
    <mergeCell ref="V692:V697"/>
    <mergeCell ref="W692:W697"/>
    <mergeCell ref="X692:X697"/>
    <mergeCell ref="Y692:Y697"/>
    <mergeCell ref="A692:A697"/>
    <mergeCell ref="B692:B693"/>
    <mergeCell ref="C692:E692"/>
    <mergeCell ref="F692:G692"/>
    <mergeCell ref="H692:H697"/>
    <mergeCell ref="J692:J694"/>
    <mergeCell ref="K692:K693"/>
    <mergeCell ref="M692:M693"/>
    <mergeCell ref="AC701:AC703"/>
    <mergeCell ref="B702:B703"/>
    <mergeCell ref="C702:E702"/>
    <mergeCell ref="F702:G702"/>
    <mergeCell ref="K702:K703"/>
    <mergeCell ref="M690:M691"/>
    <mergeCell ref="T690:T691"/>
    <mergeCell ref="AD690:AD691"/>
    <mergeCell ref="C691:E691"/>
    <mergeCell ref="F691:G691"/>
    <mergeCell ref="Z686:Z688"/>
    <mergeCell ref="AA686:AA688"/>
    <mergeCell ref="AB686:AB688"/>
    <mergeCell ref="AC686:AC688"/>
    <mergeCell ref="AD686:AD687"/>
    <mergeCell ref="AE686:AE691"/>
    <mergeCell ref="C687:E687"/>
    <mergeCell ref="F687:G687"/>
    <mergeCell ref="B688:B689"/>
    <mergeCell ref="C688:E688"/>
    <mergeCell ref="F688:G688"/>
    <mergeCell ref="K688:K689"/>
    <mergeCell ref="M688:M689"/>
    <mergeCell ref="T688:T689"/>
    <mergeCell ref="AD688:AD689"/>
    <mergeCell ref="C689:E689"/>
    <mergeCell ref="F689:G689"/>
    <mergeCell ref="J689:J691"/>
    <mergeCell ref="N689:O691"/>
    <mergeCell ref="P689:Q691"/>
    <mergeCell ref="R689:S691"/>
    <mergeCell ref="Z689:Z691"/>
    <mergeCell ref="AA689:AA691"/>
    <mergeCell ref="AB689:AB691"/>
    <mergeCell ref="N686:O688"/>
    <mergeCell ref="P686:Q688"/>
    <mergeCell ref="R686:S688"/>
    <mergeCell ref="T686:T687"/>
    <mergeCell ref="U686:U691"/>
    <mergeCell ref="V686:V691"/>
    <mergeCell ref="W686:W691"/>
    <mergeCell ref="X686:X691"/>
    <mergeCell ref="Y686:Y691"/>
    <mergeCell ref="A686:A691"/>
    <mergeCell ref="B686:B687"/>
    <mergeCell ref="C686:E686"/>
    <mergeCell ref="F686:G686"/>
    <mergeCell ref="H686:H691"/>
    <mergeCell ref="J686:J688"/>
    <mergeCell ref="K686:K687"/>
    <mergeCell ref="M686:M687"/>
    <mergeCell ref="AC683:AC685"/>
    <mergeCell ref="B684:B685"/>
    <mergeCell ref="C684:E684"/>
    <mergeCell ref="F684:G684"/>
    <mergeCell ref="K684:K685"/>
    <mergeCell ref="M684:M685"/>
    <mergeCell ref="T684:T685"/>
    <mergeCell ref="AD684:AD685"/>
    <mergeCell ref="C685:E685"/>
    <mergeCell ref="F685:G685"/>
    <mergeCell ref="Z680:Z682"/>
    <mergeCell ref="AA680:AA682"/>
    <mergeCell ref="AB680:AB682"/>
    <mergeCell ref="AC680:AC682"/>
    <mergeCell ref="AD680:AD681"/>
    <mergeCell ref="AE680:AE685"/>
    <mergeCell ref="C681:E681"/>
    <mergeCell ref="F681:G681"/>
    <mergeCell ref="B682:B683"/>
    <mergeCell ref="C682:E682"/>
    <mergeCell ref="F682:G682"/>
    <mergeCell ref="K682:K683"/>
    <mergeCell ref="M682:M683"/>
    <mergeCell ref="T682:T683"/>
    <mergeCell ref="AD682:AD683"/>
    <mergeCell ref="C683:E683"/>
    <mergeCell ref="F683:G683"/>
    <mergeCell ref="J683:J685"/>
    <mergeCell ref="N683:O685"/>
    <mergeCell ref="P683:Q685"/>
    <mergeCell ref="R683:S685"/>
    <mergeCell ref="Z683:Z685"/>
    <mergeCell ref="AA683:AA685"/>
    <mergeCell ref="AB683:AB685"/>
    <mergeCell ref="N680:O682"/>
    <mergeCell ref="P680:Q682"/>
    <mergeCell ref="R680:S682"/>
    <mergeCell ref="T680:T681"/>
    <mergeCell ref="U680:U685"/>
    <mergeCell ref="V680:V685"/>
    <mergeCell ref="W680:W685"/>
    <mergeCell ref="X680:X685"/>
    <mergeCell ref="Y680:Y685"/>
    <mergeCell ref="A680:A685"/>
    <mergeCell ref="B680:B681"/>
    <mergeCell ref="C680:E680"/>
    <mergeCell ref="F680:G680"/>
    <mergeCell ref="H680:H685"/>
    <mergeCell ref="J680:J682"/>
    <mergeCell ref="K680:K681"/>
    <mergeCell ref="M680:M681"/>
    <mergeCell ref="AC689:AC691"/>
    <mergeCell ref="B690:B691"/>
    <mergeCell ref="C690:E690"/>
    <mergeCell ref="F690:G690"/>
    <mergeCell ref="K690:K691"/>
    <mergeCell ref="M678:M679"/>
    <mergeCell ref="T678:T679"/>
    <mergeCell ref="AD678:AD679"/>
    <mergeCell ref="C679:E679"/>
    <mergeCell ref="F679:G679"/>
    <mergeCell ref="Z674:Z676"/>
    <mergeCell ref="AA674:AA676"/>
    <mergeCell ref="AB674:AB676"/>
    <mergeCell ref="AC674:AC676"/>
    <mergeCell ref="AD674:AD675"/>
    <mergeCell ref="AE674:AE679"/>
    <mergeCell ref="C675:E675"/>
    <mergeCell ref="F675:G675"/>
    <mergeCell ref="B676:B677"/>
    <mergeCell ref="C676:E676"/>
    <mergeCell ref="F676:G676"/>
    <mergeCell ref="K676:K677"/>
    <mergeCell ref="M676:M677"/>
    <mergeCell ref="T676:T677"/>
    <mergeCell ref="AD676:AD677"/>
    <mergeCell ref="C677:E677"/>
    <mergeCell ref="F677:G677"/>
    <mergeCell ref="J677:J679"/>
    <mergeCell ref="N677:O679"/>
    <mergeCell ref="P677:Q679"/>
    <mergeCell ref="R677:S679"/>
    <mergeCell ref="Z677:Z679"/>
    <mergeCell ref="AA677:AA679"/>
    <mergeCell ref="AB677:AB679"/>
    <mergeCell ref="N674:O676"/>
    <mergeCell ref="P674:Q676"/>
    <mergeCell ref="R674:S676"/>
    <mergeCell ref="T674:T675"/>
    <mergeCell ref="U674:U679"/>
    <mergeCell ref="V674:V679"/>
    <mergeCell ref="W674:W679"/>
    <mergeCell ref="X674:X679"/>
    <mergeCell ref="Y674:Y679"/>
    <mergeCell ref="A674:A679"/>
    <mergeCell ref="B674:B675"/>
    <mergeCell ref="C674:E674"/>
    <mergeCell ref="F674:G674"/>
    <mergeCell ref="H674:H679"/>
    <mergeCell ref="J674:J676"/>
    <mergeCell ref="K674:K675"/>
    <mergeCell ref="M674:M675"/>
    <mergeCell ref="AC669:AC671"/>
    <mergeCell ref="B670:B671"/>
    <mergeCell ref="C670:E670"/>
    <mergeCell ref="F670:G670"/>
    <mergeCell ref="K670:K671"/>
    <mergeCell ref="M670:M671"/>
    <mergeCell ref="T670:T671"/>
    <mergeCell ref="AD670:AD671"/>
    <mergeCell ref="C671:E671"/>
    <mergeCell ref="F671:G671"/>
    <mergeCell ref="Z666:Z668"/>
    <mergeCell ref="AA666:AA668"/>
    <mergeCell ref="AB666:AB668"/>
    <mergeCell ref="AC666:AC668"/>
    <mergeCell ref="AD666:AD667"/>
    <mergeCell ref="AE666:AE671"/>
    <mergeCell ref="C667:E667"/>
    <mergeCell ref="F667:G667"/>
    <mergeCell ref="B668:B669"/>
    <mergeCell ref="C668:E668"/>
    <mergeCell ref="F668:G668"/>
    <mergeCell ref="K668:K669"/>
    <mergeCell ref="M668:M669"/>
    <mergeCell ref="T668:T669"/>
    <mergeCell ref="AD668:AD669"/>
    <mergeCell ref="C669:E669"/>
    <mergeCell ref="F669:G669"/>
    <mergeCell ref="J669:J671"/>
    <mergeCell ref="N669:O671"/>
    <mergeCell ref="P669:Q671"/>
    <mergeCell ref="R669:S671"/>
    <mergeCell ref="Z669:Z671"/>
    <mergeCell ref="AA669:AA671"/>
    <mergeCell ref="AB669:AB671"/>
    <mergeCell ref="N666:O668"/>
    <mergeCell ref="P666:Q668"/>
    <mergeCell ref="R666:S668"/>
    <mergeCell ref="T666:T667"/>
    <mergeCell ref="U666:U671"/>
    <mergeCell ref="V666:V671"/>
    <mergeCell ref="W666:W671"/>
    <mergeCell ref="X666:X671"/>
    <mergeCell ref="Y666:Y671"/>
    <mergeCell ref="A666:A671"/>
    <mergeCell ref="B666:B667"/>
    <mergeCell ref="C666:E666"/>
    <mergeCell ref="F666:G666"/>
    <mergeCell ref="H666:H671"/>
    <mergeCell ref="J666:J668"/>
    <mergeCell ref="K666:K667"/>
    <mergeCell ref="M666:M667"/>
    <mergeCell ref="AC677:AC679"/>
    <mergeCell ref="B678:B679"/>
    <mergeCell ref="C678:E678"/>
    <mergeCell ref="F678:G678"/>
    <mergeCell ref="K678:K679"/>
    <mergeCell ref="M664:M665"/>
    <mergeCell ref="T664:T665"/>
    <mergeCell ref="AD664:AD665"/>
    <mergeCell ref="C665:E665"/>
    <mergeCell ref="F665:G665"/>
    <mergeCell ref="Z660:Z662"/>
    <mergeCell ref="AA660:AA662"/>
    <mergeCell ref="AB660:AB662"/>
    <mergeCell ref="AC660:AC662"/>
    <mergeCell ref="AD660:AD661"/>
    <mergeCell ref="AE660:AE665"/>
    <mergeCell ref="C661:E661"/>
    <mergeCell ref="F661:G661"/>
    <mergeCell ref="B662:B663"/>
    <mergeCell ref="C662:E662"/>
    <mergeCell ref="F662:G662"/>
    <mergeCell ref="K662:K663"/>
    <mergeCell ref="M662:M663"/>
    <mergeCell ref="T662:T663"/>
    <mergeCell ref="AD662:AD663"/>
    <mergeCell ref="C663:E663"/>
    <mergeCell ref="F663:G663"/>
    <mergeCell ref="J663:J665"/>
    <mergeCell ref="N663:O665"/>
    <mergeCell ref="P663:Q665"/>
    <mergeCell ref="R663:S665"/>
    <mergeCell ref="Z663:Z665"/>
    <mergeCell ref="AA663:AA665"/>
    <mergeCell ref="AB663:AB665"/>
    <mergeCell ref="N660:O662"/>
    <mergeCell ref="P660:Q662"/>
    <mergeCell ref="R660:S662"/>
    <mergeCell ref="T660:T661"/>
    <mergeCell ref="U660:U665"/>
    <mergeCell ref="V660:V665"/>
    <mergeCell ref="W660:W665"/>
    <mergeCell ref="X660:X665"/>
    <mergeCell ref="Y660:Y665"/>
    <mergeCell ref="A660:A665"/>
    <mergeCell ref="B660:B661"/>
    <mergeCell ref="C660:E660"/>
    <mergeCell ref="F660:G660"/>
    <mergeCell ref="H660:H665"/>
    <mergeCell ref="J660:J662"/>
    <mergeCell ref="K660:K661"/>
    <mergeCell ref="M660:M661"/>
    <mergeCell ref="AC657:AC659"/>
    <mergeCell ref="B658:B659"/>
    <mergeCell ref="C658:E658"/>
    <mergeCell ref="F658:G658"/>
    <mergeCell ref="K658:K659"/>
    <mergeCell ref="M658:M659"/>
    <mergeCell ref="T658:T659"/>
    <mergeCell ref="AD658:AD659"/>
    <mergeCell ref="C659:E659"/>
    <mergeCell ref="F659:G659"/>
    <mergeCell ref="Z654:Z656"/>
    <mergeCell ref="AA654:AA656"/>
    <mergeCell ref="AB654:AB656"/>
    <mergeCell ref="AC654:AC656"/>
    <mergeCell ref="AD654:AD655"/>
    <mergeCell ref="AE654:AE659"/>
    <mergeCell ref="C655:E655"/>
    <mergeCell ref="F655:G655"/>
    <mergeCell ref="B656:B657"/>
    <mergeCell ref="C656:E656"/>
    <mergeCell ref="F656:G656"/>
    <mergeCell ref="K656:K657"/>
    <mergeCell ref="M656:M657"/>
    <mergeCell ref="T656:T657"/>
    <mergeCell ref="AD656:AD657"/>
    <mergeCell ref="C657:E657"/>
    <mergeCell ref="F657:G657"/>
    <mergeCell ref="J657:J659"/>
    <mergeCell ref="N657:O659"/>
    <mergeCell ref="P657:Q659"/>
    <mergeCell ref="R657:S659"/>
    <mergeCell ref="Z657:Z659"/>
    <mergeCell ref="AA657:AA659"/>
    <mergeCell ref="AB657:AB659"/>
    <mergeCell ref="N654:O656"/>
    <mergeCell ref="P654:Q656"/>
    <mergeCell ref="R654:S656"/>
    <mergeCell ref="T654:T655"/>
    <mergeCell ref="U654:U659"/>
    <mergeCell ref="V654:V659"/>
    <mergeCell ref="W654:W659"/>
    <mergeCell ref="X654:X659"/>
    <mergeCell ref="Y654:Y659"/>
    <mergeCell ref="A654:A659"/>
    <mergeCell ref="B654:B655"/>
    <mergeCell ref="C654:E654"/>
    <mergeCell ref="F654:G654"/>
    <mergeCell ref="H654:H659"/>
    <mergeCell ref="J654:J656"/>
    <mergeCell ref="K654:K655"/>
    <mergeCell ref="M654:M655"/>
    <mergeCell ref="AC663:AC665"/>
    <mergeCell ref="B664:B665"/>
    <mergeCell ref="C664:E664"/>
    <mergeCell ref="F664:G664"/>
    <mergeCell ref="K664:K665"/>
    <mergeCell ref="M652:M653"/>
    <mergeCell ref="T652:T653"/>
    <mergeCell ref="AD652:AD653"/>
    <mergeCell ref="C653:E653"/>
    <mergeCell ref="F653:G653"/>
    <mergeCell ref="Z648:Z650"/>
    <mergeCell ref="AA648:AA650"/>
    <mergeCell ref="AB648:AB650"/>
    <mergeCell ref="AC648:AC650"/>
    <mergeCell ref="AD648:AD649"/>
    <mergeCell ref="AE648:AE653"/>
    <mergeCell ref="C649:E649"/>
    <mergeCell ref="F649:G649"/>
    <mergeCell ref="B650:B651"/>
    <mergeCell ref="C650:E650"/>
    <mergeCell ref="F650:G650"/>
    <mergeCell ref="K650:K651"/>
    <mergeCell ref="M650:M651"/>
    <mergeCell ref="T650:T651"/>
    <mergeCell ref="AD650:AD651"/>
    <mergeCell ref="C651:E651"/>
    <mergeCell ref="F651:G651"/>
    <mergeCell ref="J651:J653"/>
    <mergeCell ref="N651:O653"/>
    <mergeCell ref="P651:Q653"/>
    <mergeCell ref="R651:S653"/>
    <mergeCell ref="Z651:Z653"/>
    <mergeCell ref="AA651:AA653"/>
    <mergeCell ref="AB651:AB653"/>
    <mergeCell ref="N648:O650"/>
    <mergeCell ref="P648:Q650"/>
    <mergeCell ref="R648:S650"/>
    <mergeCell ref="T648:T649"/>
    <mergeCell ref="U648:U653"/>
    <mergeCell ref="V648:V653"/>
    <mergeCell ref="W648:W653"/>
    <mergeCell ref="X648:X653"/>
    <mergeCell ref="Y648:Y653"/>
    <mergeCell ref="A648:A653"/>
    <mergeCell ref="B648:B649"/>
    <mergeCell ref="C648:E648"/>
    <mergeCell ref="F648:G648"/>
    <mergeCell ref="H648:H653"/>
    <mergeCell ref="J648:J650"/>
    <mergeCell ref="K648:K649"/>
    <mergeCell ref="M648:M649"/>
    <mergeCell ref="AC645:AC647"/>
    <mergeCell ref="B646:B647"/>
    <mergeCell ref="C646:E646"/>
    <mergeCell ref="F646:G646"/>
    <mergeCell ref="K646:K647"/>
    <mergeCell ref="M646:M647"/>
    <mergeCell ref="T646:T647"/>
    <mergeCell ref="AD646:AD647"/>
    <mergeCell ref="C647:E647"/>
    <mergeCell ref="F647:G647"/>
    <mergeCell ref="Z642:Z644"/>
    <mergeCell ref="AA642:AA644"/>
    <mergeCell ref="AB642:AB644"/>
    <mergeCell ref="AC642:AC644"/>
    <mergeCell ref="AD642:AD643"/>
    <mergeCell ref="AE642:AE647"/>
    <mergeCell ref="C643:E643"/>
    <mergeCell ref="F643:G643"/>
    <mergeCell ref="B644:B645"/>
    <mergeCell ref="C644:E644"/>
    <mergeCell ref="F644:G644"/>
    <mergeCell ref="K644:K645"/>
    <mergeCell ref="M644:M645"/>
    <mergeCell ref="T644:T645"/>
    <mergeCell ref="AD644:AD645"/>
    <mergeCell ref="C645:E645"/>
    <mergeCell ref="F645:G645"/>
    <mergeCell ref="J645:J647"/>
    <mergeCell ref="N645:O647"/>
    <mergeCell ref="P645:Q647"/>
    <mergeCell ref="R645:S647"/>
    <mergeCell ref="Z645:Z647"/>
    <mergeCell ref="AA645:AA647"/>
    <mergeCell ref="AB645:AB647"/>
    <mergeCell ref="N642:O644"/>
    <mergeCell ref="P642:Q644"/>
    <mergeCell ref="R642:S644"/>
    <mergeCell ref="T642:T643"/>
    <mergeCell ref="U642:U647"/>
    <mergeCell ref="V642:V647"/>
    <mergeCell ref="W642:W647"/>
    <mergeCell ref="X642:X647"/>
    <mergeCell ref="Y642:Y647"/>
    <mergeCell ref="A642:A647"/>
    <mergeCell ref="B642:B643"/>
    <mergeCell ref="C642:E642"/>
    <mergeCell ref="F642:G642"/>
    <mergeCell ref="H642:H647"/>
    <mergeCell ref="J642:J644"/>
    <mergeCell ref="K642:K643"/>
    <mergeCell ref="M642:M643"/>
    <mergeCell ref="AC651:AC653"/>
    <mergeCell ref="B652:B653"/>
    <mergeCell ref="C652:E652"/>
    <mergeCell ref="F652:G652"/>
    <mergeCell ref="K652:K653"/>
    <mergeCell ref="M638:M639"/>
    <mergeCell ref="T638:T639"/>
    <mergeCell ref="AD638:AD639"/>
    <mergeCell ref="C639:E639"/>
    <mergeCell ref="F639:G639"/>
    <mergeCell ref="Z634:Z636"/>
    <mergeCell ref="AA634:AA636"/>
    <mergeCell ref="AB634:AB636"/>
    <mergeCell ref="AC634:AC636"/>
    <mergeCell ref="AD634:AD635"/>
    <mergeCell ref="AE634:AE639"/>
    <mergeCell ref="C635:E635"/>
    <mergeCell ref="F635:G635"/>
    <mergeCell ref="B636:B637"/>
    <mergeCell ref="C636:E636"/>
    <mergeCell ref="F636:G636"/>
    <mergeCell ref="K636:K637"/>
    <mergeCell ref="M636:M637"/>
    <mergeCell ref="T636:T637"/>
    <mergeCell ref="AD636:AD637"/>
    <mergeCell ref="C637:E637"/>
    <mergeCell ref="F637:G637"/>
    <mergeCell ref="J637:J639"/>
    <mergeCell ref="N637:O639"/>
    <mergeCell ref="P637:Q639"/>
    <mergeCell ref="R637:S639"/>
    <mergeCell ref="Z637:Z639"/>
    <mergeCell ref="AA637:AA639"/>
    <mergeCell ref="AB637:AB639"/>
    <mergeCell ref="N634:O636"/>
    <mergeCell ref="P634:Q636"/>
    <mergeCell ref="R634:S636"/>
    <mergeCell ref="T634:T635"/>
    <mergeCell ref="U634:U639"/>
    <mergeCell ref="V634:V639"/>
    <mergeCell ref="W634:W639"/>
    <mergeCell ref="X634:X639"/>
    <mergeCell ref="Y634:Y639"/>
    <mergeCell ref="A634:A639"/>
    <mergeCell ref="B634:B635"/>
    <mergeCell ref="C634:E634"/>
    <mergeCell ref="F634:G634"/>
    <mergeCell ref="H634:H639"/>
    <mergeCell ref="J634:J636"/>
    <mergeCell ref="K634:K635"/>
    <mergeCell ref="M634:M635"/>
    <mergeCell ref="AC631:AC633"/>
    <mergeCell ref="B632:B633"/>
    <mergeCell ref="C632:E632"/>
    <mergeCell ref="F632:G632"/>
    <mergeCell ref="K632:K633"/>
    <mergeCell ref="M632:M633"/>
    <mergeCell ref="T632:T633"/>
    <mergeCell ref="AD632:AD633"/>
    <mergeCell ref="C633:E633"/>
    <mergeCell ref="F633:G633"/>
    <mergeCell ref="Z628:Z630"/>
    <mergeCell ref="AA628:AA630"/>
    <mergeCell ref="AB628:AB630"/>
    <mergeCell ref="AC628:AC630"/>
    <mergeCell ref="AD628:AD629"/>
    <mergeCell ref="AE628:AE633"/>
    <mergeCell ref="C629:E629"/>
    <mergeCell ref="F629:G629"/>
    <mergeCell ref="B630:B631"/>
    <mergeCell ref="C630:E630"/>
    <mergeCell ref="F630:G630"/>
    <mergeCell ref="K630:K631"/>
    <mergeCell ref="M630:M631"/>
    <mergeCell ref="T630:T631"/>
    <mergeCell ref="AD630:AD631"/>
    <mergeCell ref="C631:E631"/>
    <mergeCell ref="F631:G631"/>
    <mergeCell ref="J631:J633"/>
    <mergeCell ref="N631:O633"/>
    <mergeCell ref="P631:Q633"/>
    <mergeCell ref="R631:S633"/>
    <mergeCell ref="Z631:Z633"/>
    <mergeCell ref="AA631:AA633"/>
    <mergeCell ref="AB631:AB633"/>
    <mergeCell ref="N628:O630"/>
    <mergeCell ref="P628:Q630"/>
    <mergeCell ref="R628:S630"/>
    <mergeCell ref="T628:T629"/>
    <mergeCell ref="U628:U633"/>
    <mergeCell ref="V628:V633"/>
    <mergeCell ref="W628:W633"/>
    <mergeCell ref="X628:X633"/>
    <mergeCell ref="Y628:Y633"/>
    <mergeCell ref="A628:A633"/>
    <mergeCell ref="B628:B629"/>
    <mergeCell ref="C628:E628"/>
    <mergeCell ref="F628:G628"/>
    <mergeCell ref="H628:H633"/>
    <mergeCell ref="J628:J630"/>
    <mergeCell ref="K628:K629"/>
    <mergeCell ref="M628:M629"/>
    <mergeCell ref="AC637:AC639"/>
    <mergeCell ref="B638:B639"/>
    <mergeCell ref="C638:E638"/>
    <mergeCell ref="F638:G638"/>
    <mergeCell ref="K638:K639"/>
    <mergeCell ref="M626:M627"/>
    <mergeCell ref="T626:T627"/>
    <mergeCell ref="AD626:AD627"/>
    <mergeCell ref="C627:E627"/>
    <mergeCell ref="F627:G627"/>
    <mergeCell ref="Z622:Z624"/>
    <mergeCell ref="AA622:AA624"/>
    <mergeCell ref="AB622:AB624"/>
    <mergeCell ref="AC622:AC624"/>
    <mergeCell ref="AD622:AD623"/>
    <mergeCell ref="AE622:AE627"/>
    <mergeCell ref="C623:E623"/>
    <mergeCell ref="F623:G623"/>
    <mergeCell ref="B624:B625"/>
    <mergeCell ref="C624:E624"/>
    <mergeCell ref="F624:G624"/>
    <mergeCell ref="K624:K625"/>
    <mergeCell ref="M624:M625"/>
    <mergeCell ref="T624:T625"/>
    <mergeCell ref="AD624:AD625"/>
    <mergeCell ref="C625:E625"/>
    <mergeCell ref="F625:G625"/>
    <mergeCell ref="J625:J627"/>
    <mergeCell ref="N625:O627"/>
    <mergeCell ref="P625:Q627"/>
    <mergeCell ref="R625:S627"/>
    <mergeCell ref="Z625:Z627"/>
    <mergeCell ref="AA625:AA627"/>
    <mergeCell ref="AB625:AB627"/>
    <mergeCell ref="N622:O624"/>
    <mergeCell ref="P622:Q624"/>
    <mergeCell ref="R622:S624"/>
    <mergeCell ref="T622:T623"/>
    <mergeCell ref="U622:U627"/>
    <mergeCell ref="V622:V627"/>
    <mergeCell ref="W622:W627"/>
    <mergeCell ref="X622:X627"/>
    <mergeCell ref="Y622:Y627"/>
    <mergeCell ref="A622:A627"/>
    <mergeCell ref="B622:B623"/>
    <mergeCell ref="C622:E622"/>
    <mergeCell ref="F622:G622"/>
    <mergeCell ref="H622:H627"/>
    <mergeCell ref="J622:J624"/>
    <mergeCell ref="K622:K623"/>
    <mergeCell ref="M622:M623"/>
    <mergeCell ref="AC619:AC621"/>
    <mergeCell ref="B620:B621"/>
    <mergeCell ref="C620:E620"/>
    <mergeCell ref="F620:G620"/>
    <mergeCell ref="K620:K621"/>
    <mergeCell ref="M620:M621"/>
    <mergeCell ref="T620:T621"/>
    <mergeCell ref="AD620:AD621"/>
    <mergeCell ref="C621:E621"/>
    <mergeCell ref="F621:G621"/>
    <mergeCell ref="Z616:Z618"/>
    <mergeCell ref="AA616:AA618"/>
    <mergeCell ref="AB616:AB618"/>
    <mergeCell ref="AC616:AC618"/>
    <mergeCell ref="AD616:AD617"/>
    <mergeCell ref="AE616:AE621"/>
    <mergeCell ref="C617:E617"/>
    <mergeCell ref="F617:G617"/>
    <mergeCell ref="B618:B619"/>
    <mergeCell ref="C618:E618"/>
    <mergeCell ref="F618:G618"/>
    <mergeCell ref="K618:K619"/>
    <mergeCell ref="M618:M619"/>
    <mergeCell ref="T618:T619"/>
    <mergeCell ref="AD618:AD619"/>
    <mergeCell ref="C619:E619"/>
    <mergeCell ref="F619:G619"/>
    <mergeCell ref="J619:J621"/>
    <mergeCell ref="N619:O621"/>
    <mergeCell ref="P619:Q621"/>
    <mergeCell ref="R619:S621"/>
    <mergeCell ref="Z619:Z621"/>
    <mergeCell ref="AA619:AA621"/>
    <mergeCell ref="AB619:AB621"/>
    <mergeCell ref="N616:O618"/>
    <mergeCell ref="P616:Q618"/>
    <mergeCell ref="R616:S618"/>
    <mergeCell ref="T616:T617"/>
    <mergeCell ref="U616:U621"/>
    <mergeCell ref="V616:V621"/>
    <mergeCell ref="W616:W621"/>
    <mergeCell ref="X616:X621"/>
    <mergeCell ref="Y616:Y621"/>
    <mergeCell ref="A616:A621"/>
    <mergeCell ref="B616:B617"/>
    <mergeCell ref="C616:E616"/>
    <mergeCell ref="F616:G616"/>
    <mergeCell ref="H616:H621"/>
    <mergeCell ref="J616:J618"/>
    <mergeCell ref="K616:K617"/>
    <mergeCell ref="M616:M617"/>
    <mergeCell ref="AC625:AC627"/>
    <mergeCell ref="B626:B627"/>
    <mergeCell ref="C626:E626"/>
    <mergeCell ref="F626:G626"/>
    <mergeCell ref="K626:K627"/>
    <mergeCell ref="M614:M615"/>
    <mergeCell ref="T614:T615"/>
    <mergeCell ref="AD614:AD615"/>
    <mergeCell ref="C615:E615"/>
    <mergeCell ref="F615:G615"/>
    <mergeCell ref="Z610:Z612"/>
    <mergeCell ref="AA610:AA612"/>
    <mergeCell ref="AB610:AB612"/>
    <mergeCell ref="AC610:AC612"/>
    <mergeCell ref="AD610:AD611"/>
    <mergeCell ref="AE610:AE615"/>
    <mergeCell ref="C611:E611"/>
    <mergeCell ref="F611:G611"/>
    <mergeCell ref="B612:B613"/>
    <mergeCell ref="C612:E612"/>
    <mergeCell ref="F612:G612"/>
    <mergeCell ref="K612:K613"/>
    <mergeCell ref="M612:M613"/>
    <mergeCell ref="T612:T613"/>
    <mergeCell ref="AD612:AD613"/>
    <mergeCell ref="C613:E613"/>
    <mergeCell ref="F613:G613"/>
    <mergeCell ref="J613:J615"/>
    <mergeCell ref="N613:O615"/>
    <mergeCell ref="P613:Q615"/>
    <mergeCell ref="R613:S615"/>
    <mergeCell ref="Z613:Z615"/>
    <mergeCell ref="AA613:AA615"/>
    <mergeCell ref="AB613:AB615"/>
    <mergeCell ref="N610:O612"/>
    <mergeCell ref="P610:Q612"/>
    <mergeCell ref="R610:S612"/>
    <mergeCell ref="T610:T611"/>
    <mergeCell ref="U610:U615"/>
    <mergeCell ref="V610:V615"/>
    <mergeCell ref="W610:W615"/>
    <mergeCell ref="X610:X615"/>
    <mergeCell ref="Y610:Y615"/>
    <mergeCell ref="A610:A615"/>
    <mergeCell ref="B610:B611"/>
    <mergeCell ref="C610:E610"/>
    <mergeCell ref="F610:G610"/>
    <mergeCell ref="H610:H615"/>
    <mergeCell ref="J610:J612"/>
    <mergeCell ref="K610:K611"/>
    <mergeCell ref="M610:M611"/>
    <mergeCell ref="AC605:AC607"/>
    <mergeCell ref="B606:B607"/>
    <mergeCell ref="C606:E606"/>
    <mergeCell ref="F606:G606"/>
    <mergeCell ref="K606:K607"/>
    <mergeCell ref="M606:M607"/>
    <mergeCell ref="T606:T607"/>
    <mergeCell ref="AD606:AD607"/>
    <mergeCell ref="C607:E607"/>
    <mergeCell ref="F607:G607"/>
    <mergeCell ref="Z602:Z604"/>
    <mergeCell ref="AA602:AA604"/>
    <mergeCell ref="AB602:AB604"/>
    <mergeCell ref="AC602:AC604"/>
    <mergeCell ref="AD602:AD603"/>
    <mergeCell ref="AE602:AE607"/>
    <mergeCell ref="C603:E603"/>
    <mergeCell ref="F603:G603"/>
    <mergeCell ref="B604:B605"/>
    <mergeCell ref="C604:E604"/>
    <mergeCell ref="F604:G604"/>
    <mergeCell ref="K604:K605"/>
    <mergeCell ref="M604:M605"/>
    <mergeCell ref="T604:T605"/>
    <mergeCell ref="AD604:AD605"/>
    <mergeCell ref="C605:E605"/>
    <mergeCell ref="F605:G605"/>
    <mergeCell ref="J605:J607"/>
    <mergeCell ref="N605:O607"/>
    <mergeCell ref="P605:Q607"/>
    <mergeCell ref="R605:S607"/>
    <mergeCell ref="Z605:Z607"/>
    <mergeCell ref="AA605:AA607"/>
    <mergeCell ref="AB605:AB607"/>
    <mergeCell ref="N602:O604"/>
    <mergeCell ref="P602:Q604"/>
    <mergeCell ref="R602:S604"/>
    <mergeCell ref="T602:T603"/>
    <mergeCell ref="U602:U607"/>
    <mergeCell ref="V602:V607"/>
    <mergeCell ref="W602:W607"/>
    <mergeCell ref="X602:X607"/>
    <mergeCell ref="Y602:Y607"/>
    <mergeCell ref="A602:A607"/>
    <mergeCell ref="B602:B603"/>
    <mergeCell ref="C602:E602"/>
    <mergeCell ref="F602:G602"/>
    <mergeCell ref="H602:H607"/>
    <mergeCell ref="J602:J604"/>
    <mergeCell ref="K602:K603"/>
    <mergeCell ref="M602:M603"/>
    <mergeCell ref="AC613:AC615"/>
    <mergeCell ref="B614:B615"/>
    <mergeCell ref="C614:E614"/>
    <mergeCell ref="F614:G614"/>
    <mergeCell ref="K614:K615"/>
    <mergeCell ref="M600:M601"/>
    <mergeCell ref="T600:T601"/>
    <mergeCell ref="AD600:AD601"/>
    <mergeCell ref="C601:E601"/>
    <mergeCell ref="F601:G601"/>
    <mergeCell ref="Z596:Z598"/>
    <mergeCell ref="AA596:AA598"/>
    <mergeCell ref="AB596:AB598"/>
    <mergeCell ref="AC596:AC598"/>
    <mergeCell ref="AD596:AD597"/>
    <mergeCell ref="AE596:AE601"/>
    <mergeCell ref="C597:E597"/>
    <mergeCell ref="F597:G597"/>
    <mergeCell ref="B598:B599"/>
    <mergeCell ref="C598:E598"/>
    <mergeCell ref="F598:G598"/>
    <mergeCell ref="K598:K599"/>
    <mergeCell ref="M598:M599"/>
    <mergeCell ref="T598:T599"/>
    <mergeCell ref="AD598:AD599"/>
    <mergeCell ref="C599:E599"/>
    <mergeCell ref="F599:G599"/>
    <mergeCell ref="J599:J601"/>
    <mergeCell ref="N599:O601"/>
    <mergeCell ref="P599:Q601"/>
    <mergeCell ref="R599:S601"/>
    <mergeCell ref="Z599:Z601"/>
    <mergeCell ref="AA599:AA601"/>
    <mergeCell ref="AB599:AB601"/>
    <mergeCell ref="N596:O598"/>
    <mergeCell ref="P596:Q598"/>
    <mergeCell ref="R596:S598"/>
    <mergeCell ref="T596:T597"/>
    <mergeCell ref="U596:U601"/>
    <mergeCell ref="V596:V601"/>
    <mergeCell ref="W596:W601"/>
    <mergeCell ref="X596:X601"/>
    <mergeCell ref="Y596:Y601"/>
    <mergeCell ref="A596:A601"/>
    <mergeCell ref="B596:B597"/>
    <mergeCell ref="C596:E596"/>
    <mergeCell ref="F596:G596"/>
    <mergeCell ref="H596:H601"/>
    <mergeCell ref="J596:J598"/>
    <mergeCell ref="K596:K597"/>
    <mergeCell ref="M596:M597"/>
    <mergeCell ref="AC593:AC595"/>
    <mergeCell ref="B594:B595"/>
    <mergeCell ref="C594:E594"/>
    <mergeCell ref="F594:G594"/>
    <mergeCell ref="K594:K595"/>
    <mergeCell ref="M594:M595"/>
    <mergeCell ref="T594:T595"/>
    <mergeCell ref="AD594:AD595"/>
    <mergeCell ref="C595:E595"/>
    <mergeCell ref="F595:G595"/>
    <mergeCell ref="Z590:Z592"/>
    <mergeCell ref="AA590:AA592"/>
    <mergeCell ref="AB590:AB592"/>
    <mergeCell ref="AC590:AC592"/>
    <mergeCell ref="AD590:AD591"/>
    <mergeCell ref="AE590:AE595"/>
    <mergeCell ref="C591:E591"/>
    <mergeCell ref="F591:G591"/>
    <mergeCell ref="B592:B593"/>
    <mergeCell ref="C592:E592"/>
    <mergeCell ref="F592:G592"/>
    <mergeCell ref="K592:K593"/>
    <mergeCell ref="M592:M593"/>
    <mergeCell ref="T592:T593"/>
    <mergeCell ref="AD592:AD593"/>
    <mergeCell ref="C593:E593"/>
    <mergeCell ref="F593:G593"/>
    <mergeCell ref="J593:J595"/>
    <mergeCell ref="N593:O595"/>
    <mergeCell ref="P593:Q595"/>
    <mergeCell ref="R593:S595"/>
    <mergeCell ref="Z593:Z595"/>
    <mergeCell ref="AA593:AA595"/>
    <mergeCell ref="AB593:AB595"/>
    <mergeCell ref="N590:O592"/>
    <mergeCell ref="P590:Q592"/>
    <mergeCell ref="R590:S592"/>
    <mergeCell ref="T590:T591"/>
    <mergeCell ref="U590:U595"/>
    <mergeCell ref="V590:V595"/>
    <mergeCell ref="W590:W595"/>
    <mergeCell ref="X590:X595"/>
    <mergeCell ref="Y590:Y595"/>
    <mergeCell ref="A590:A595"/>
    <mergeCell ref="B590:B591"/>
    <mergeCell ref="C590:E590"/>
    <mergeCell ref="F590:G590"/>
    <mergeCell ref="H590:H595"/>
    <mergeCell ref="J590:J592"/>
    <mergeCell ref="K590:K591"/>
    <mergeCell ref="M590:M591"/>
    <mergeCell ref="AC599:AC601"/>
    <mergeCell ref="B600:B601"/>
    <mergeCell ref="C600:E600"/>
    <mergeCell ref="F600:G600"/>
    <mergeCell ref="K600:K601"/>
    <mergeCell ref="M588:M589"/>
    <mergeCell ref="T588:T589"/>
    <mergeCell ref="AD588:AD589"/>
    <mergeCell ref="C589:E589"/>
    <mergeCell ref="F589:G589"/>
    <mergeCell ref="Z584:Z586"/>
    <mergeCell ref="AA584:AA586"/>
    <mergeCell ref="AB584:AB586"/>
    <mergeCell ref="AC584:AC586"/>
    <mergeCell ref="AD584:AD585"/>
    <mergeCell ref="AE584:AE589"/>
    <mergeCell ref="C585:E585"/>
    <mergeCell ref="F585:G585"/>
    <mergeCell ref="B586:B587"/>
    <mergeCell ref="C586:E586"/>
    <mergeCell ref="F586:G586"/>
    <mergeCell ref="K586:K587"/>
    <mergeCell ref="M586:M587"/>
    <mergeCell ref="T586:T587"/>
    <mergeCell ref="AD586:AD587"/>
    <mergeCell ref="C587:E587"/>
    <mergeCell ref="F587:G587"/>
    <mergeCell ref="J587:J589"/>
    <mergeCell ref="N587:O589"/>
    <mergeCell ref="P587:Q589"/>
    <mergeCell ref="R587:S589"/>
    <mergeCell ref="Z587:Z589"/>
    <mergeCell ref="AA587:AA589"/>
    <mergeCell ref="AB587:AB589"/>
    <mergeCell ref="N584:O586"/>
    <mergeCell ref="P584:Q586"/>
    <mergeCell ref="R584:S586"/>
    <mergeCell ref="T584:T585"/>
    <mergeCell ref="U584:U589"/>
    <mergeCell ref="V584:V589"/>
    <mergeCell ref="W584:W589"/>
    <mergeCell ref="X584:X589"/>
    <mergeCell ref="Y584:Y589"/>
    <mergeCell ref="A584:A589"/>
    <mergeCell ref="B584:B585"/>
    <mergeCell ref="C584:E584"/>
    <mergeCell ref="F584:G584"/>
    <mergeCell ref="H584:H589"/>
    <mergeCell ref="J584:J586"/>
    <mergeCell ref="K584:K585"/>
    <mergeCell ref="M584:M585"/>
    <mergeCell ref="AC581:AC583"/>
    <mergeCell ref="B582:B583"/>
    <mergeCell ref="C582:E582"/>
    <mergeCell ref="F582:G582"/>
    <mergeCell ref="K582:K583"/>
    <mergeCell ref="M582:M583"/>
    <mergeCell ref="T582:T583"/>
    <mergeCell ref="AD582:AD583"/>
    <mergeCell ref="C583:E583"/>
    <mergeCell ref="F583:G583"/>
    <mergeCell ref="Z578:Z580"/>
    <mergeCell ref="AA578:AA580"/>
    <mergeCell ref="AB578:AB580"/>
    <mergeCell ref="AC578:AC580"/>
    <mergeCell ref="AD578:AD579"/>
    <mergeCell ref="AE578:AE583"/>
    <mergeCell ref="C579:E579"/>
    <mergeCell ref="F579:G579"/>
    <mergeCell ref="B580:B581"/>
    <mergeCell ref="C580:E580"/>
    <mergeCell ref="F580:G580"/>
    <mergeCell ref="K580:K581"/>
    <mergeCell ref="M580:M581"/>
    <mergeCell ref="T580:T581"/>
    <mergeCell ref="AD580:AD581"/>
    <mergeCell ref="C581:E581"/>
    <mergeCell ref="F581:G581"/>
    <mergeCell ref="J581:J583"/>
    <mergeCell ref="N581:O583"/>
    <mergeCell ref="P581:Q583"/>
    <mergeCell ref="R581:S583"/>
    <mergeCell ref="Z581:Z583"/>
    <mergeCell ref="AA581:AA583"/>
    <mergeCell ref="AB581:AB583"/>
    <mergeCell ref="N578:O580"/>
    <mergeCell ref="P578:Q580"/>
    <mergeCell ref="R578:S580"/>
    <mergeCell ref="T578:T579"/>
    <mergeCell ref="U578:U583"/>
    <mergeCell ref="V578:V583"/>
    <mergeCell ref="W578:W583"/>
    <mergeCell ref="X578:X583"/>
    <mergeCell ref="Y578:Y583"/>
    <mergeCell ref="A578:A583"/>
    <mergeCell ref="B578:B579"/>
    <mergeCell ref="C578:E578"/>
    <mergeCell ref="F578:G578"/>
    <mergeCell ref="H578:H583"/>
    <mergeCell ref="J578:J580"/>
    <mergeCell ref="K578:K579"/>
    <mergeCell ref="M578:M579"/>
    <mergeCell ref="AC587:AC589"/>
    <mergeCell ref="B588:B589"/>
    <mergeCell ref="C588:E588"/>
    <mergeCell ref="F588:G588"/>
    <mergeCell ref="K588:K589"/>
    <mergeCell ref="M574:M575"/>
    <mergeCell ref="T574:T575"/>
    <mergeCell ref="AD574:AD575"/>
    <mergeCell ref="C575:E575"/>
    <mergeCell ref="F575:G575"/>
    <mergeCell ref="Z570:Z572"/>
    <mergeCell ref="AA570:AA572"/>
    <mergeCell ref="AB570:AB572"/>
    <mergeCell ref="AC570:AC572"/>
    <mergeCell ref="AD570:AD571"/>
    <mergeCell ref="AE570:AE575"/>
    <mergeCell ref="C571:E571"/>
    <mergeCell ref="F571:G571"/>
    <mergeCell ref="B572:B573"/>
    <mergeCell ref="C572:E572"/>
    <mergeCell ref="F572:G572"/>
    <mergeCell ref="K572:K573"/>
    <mergeCell ref="M572:M573"/>
    <mergeCell ref="T572:T573"/>
    <mergeCell ref="AD572:AD573"/>
    <mergeCell ref="C573:E573"/>
    <mergeCell ref="F573:G573"/>
    <mergeCell ref="J573:J575"/>
    <mergeCell ref="N573:O575"/>
    <mergeCell ref="P573:Q575"/>
    <mergeCell ref="R573:S575"/>
    <mergeCell ref="Z573:Z575"/>
    <mergeCell ref="AA573:AA575"/>
    <mergeCell ref="AB573:AB575"/>
    <mergeCell ref="N570:O572"/>
    <mergeCell ref="P570:Q572"/>
    <mergeCell ref="R570:S572"/>
    <mergeCell ref="T570:T571"/>
    <mergeCell ref="U570:U575"/>
    <mergeCell ref="V570:V575"/>
    <mergeCell ref="W570:W575"/>
    <mergeCell ref="X570:X575"/>
    <mergeCell ref="Y570:Y575"/>
    <mergeCell ref="I570:I572"/>
    <mergeCell ref="I573:I575"/>
    <mergeCell ref="A570:A575"/>
    <mergeCell ref="B570:B571"/>
    <mergeCell ref="C570:E570"/>
    <mergeCell ref="F570:G570"/>
    <mergeCell ref="H570:H575"/>
    <mergeCell ref="J570:J572"/>
    <mergeCell ref="K570:K571"/>
    <mergeCell ref="M570:M571"/>
    <mergeCell ref="AC567:AC569"/>
    <mergeCell ref="B568:B569"/>
    <mergeCell ref="C568:E568"/>
    <mergeCell ref="F568:G568"/>
    <mergeCell ref="K568:K569"/>
    <mergeCell ref="M568:M569"/>
    <mergeCell ref="T568:T569"/>
    <mergeCell ref="AD568:AD569"/>
    <mergeCell ref="C569:E569"/>
    <mergeCell ref="F569:G569"/>
    <mergeCell ref="Z564:Z566"/>
    <mergeCell ref="AA564:AA566"/>
    <mergeCell ref="AB564:AB566"/>
    <mergeCell ref="AC564:AC566"/>
    <mergeCell ref="AD564:AD565"/>
    <mergeCell ref="AE564:AE569"/>
    <mergeCell ref="C565:E565"/>
    <mergeCell ref="F565:G565"/>
    <mergeCell ref="B566:B567"/>
    <mergeCell ref="C566:E566"/>
    <mergeCell ref="F566:G566"/>
    <mergeCell ref="K566:K567"/>
    <mergeCell ref="M566:M567"/>
    <mergeCell ref="T566:T567"/>
    <mergeCell ref="AD566:AD567"/>
    <mergeCell ref="C567:E567"/>
    <mergeCell ref="F567:G567"/>
    <mergeCell ref="J567:J569"/>
    <mergeCell ref="N567:O569"/>
    <mergeCell ref="P567:Q569"/>
    <mergeCell ref="R567:S569"/>
    <mergeCell ref="Z567:Z569"/>
    <mergeCell ref="AA567:AA569"/>
    <mergeCell ref="AB567:AB569"/>
    <mergeCell ref="N564:O566"/>
    <mergeCell ref="P564:Q566"/>
    <mergeCell ref="R564:S566"/>
    <mergeCell ref="T564:T565"/>
    <mergeCell ref="U564:U569"/>
    <mergeCell ref="V564:V569"/>
    <mergeCell ref="W564:W569"/>
    <mergeCell ref="X564:X569"/>
    <mergeCell ref="Y564:Y569"/>
    <mergeCell ref="A564:A569"/>
    <mergeCell ref="B564:B565"/>
    <mergeCell ref="C564:E564"/>
    <mergeCell ref="F564:G564"/>
    <mergeCell ref="H564:H569"/>
    <mergeCell ref="J564:J566"/>
    <mergeCell ref="K564:K565"/>
    <mergeCell ref="M564:M565"/>
    <mergeCell ref="AC573:AC575"/>
    <mergeCell ref="B574:B575"/>
    <mergeCell ref="C574:E574"/>
    <mergeCell ref="F574:G574"/>
    <mergeCell ref="K574:K575"/>
    <mergeCell ref="M562:M563"/>
    <mergeCell ref="T562:T563"/>
    <mergeCell ref="AD562:AD563"/>
    <mergeCell ref="C563:E563"/>
    <mergeCell ref="F563:G563"/>
    <mergeCell ref="Z558:Z560"/>
    <mergeCell ref="AA558:AA560"/>
    <mergeCell ref="AB558:AB560"/>
    <mergeCell ref="AC558:AC560"/>
    <mergeCell ref="AD558:AD559"/>
    <mergeCell ref="AE558:AE563"/>
    <mergeCell ref="C559:E559"/>
    <mergeCell ref="F559:G559"/>
    <mergeCell ref="B560:B561"/>
    <mergeCell ref="C560:E560"/>
    <mergeCell ref="F560:G560"/>
    <mergeCell ref="K560:K561"/>
    <mergeCell ref="M560:M561"/>
    <mergeCell ref="T560:T561"/>
    <mergeCell ref="AD560:AD561"/>
    <mergeCell ref="C561:E561"/>
    <mergeCell ref="F561:G561"/>
    <mergeCell ref="J561:J563"/>
    <mergeCell ref="N561:O563"/>
    <mergeCell ref="P561:Q563"/>
    <mergeCell ref="R561:S563"/>
    <mergeCell ref="Z561:Z563"/>
    <mergeCell ref="AA561:AA563"/>
    <mergeCell ref="AB561:AB563"/>
    <mergeCell ref="N558:O560"/>
    <mergeCell ref="P558:Q560"/>
    <mergeCell ref="R558:S560"/>
    <mergeCell ref="T558:T559"/>
    <mergeCell ref="U558:U563"/>
    <mergeCell ref="V558:V563"/>
    <mergeCell ref="W558:W563"/>
    <mergeCell ref="X558:X563"/>
    <mergeCell ref="Y558:Y563"/>
    <mergeCell ref="A558:A563"/>
    <mergeCell ref="B558:B559"/>
    <mergeCell ref="C558:E558"/>
    <mergeCell ref="F558:G558"/>
    <mergeCell ref="H558:H563"/>
    <mergeCell ref="J558:J560"/>
    <mergeCell ref="K558:K559"/>
    <mergeCell ref="M558:M559"/>
    <mergeCell ref="AC555:AC557"/>
    <mergeCell ref="B556:B557"/>
    <mergeCell ref="C556:E556"/>
    <mergeCell ref="F556:G556"/>
    <mergeCell ref="K556:K557"/>
    <mergeCell ref="M556:M557"/>
    <mergeCell ref="T556:T557"/>
    <mergeCell ref="AD556:AD557"/>
    <mergeCell ref="C557:E557"/>
    <mergeCell ref="F557:G557"/>
    <mergeCell ref="Z552:Z554"/>
    <mergeCell ref="AA552:AA554"/>
    <mergeCell ref="AB552:AB554"/>
    <mergeCell ref="AC552:AC554"/>
    <mergeCell ref="AD552:AD553"/>
    <mergeCell ref="AE552:AE557"/>
    <mergeCell ref="C553:E553"/>
    <mergeCell ref="F553:G553"/>
    <mergeCell ref="B554:B555"/>
    <mergeCell ref="C554:E554"/>
    <mergeCell ref="F554:G554"/>
    <mergeCell ref="K554:K555"/>
    <mergeCell ref="M554:M555"/>
    <mergeCell ref="T554:T555"/>
    <mergeCell ref="AD554:AD555"/>
    <mergeCell ref="C555:E555"/>
    <mergeCell ref="F555:G555"/>
    <mergeCell ref="J555:J557"/>
    <mergeCell ref="N555:O557"/>
    <mergeCell ref="P555:Q557"/>
    <mergeCell ref="R555:S557"/>
    <mergeCell ref="Z555:Z557"/>
    <mergeCell ref="AA555:AA557"/>
    <mergeCell ref="AB555:AB557"/>
    <mergeCell ref="N552:O554"/>
    <mergeCell ref="P552:Q554"/>
    <mergeCell ref="R552:S554"/>
    <mergeCell ref="T552:T553"/>
    <mergeCell ref="U552:U557"/>
    <mergeCell ref="V552:V557"/>
    <mergeCell ref="W552:W557"/>
    <mergeCell ref="X552:X557"/>
    <mergeCell ref="Y552:Y557"/>
    <mergeCell ref="A552:A557"/>
    <mergeCell ref="B552:B553"/>
    <mergeCell ref="C552:E552"/>
    <mergeCell ref="F552:G552"/>
    <mergeCell ref="H552:H557"/>
    <mergeCell ref="J552:J554"/>
    <mergeCell ref="K552:K553"/>
    <mergeCell ref="M552:M553"/>
    <mergeCell ref="AC561:AC563"/>
    <mergeCell ref="B562:B563"/>
    <mergeCell ref="C562:E562"/>
    <mergeCell ref="F562:G562"/>
    <mergeCell ref="K562:K563"/>
    <mergeCell ref="M550:M551"/>
    <mergeCell ref="T550:T551"/>
    <mergeCell ref="AD550:AD551"/>
    <mergeCell ref="C551:E551"/>
    <mergeCell ref="F551:G551"/>
    <mergeCell ref="Z546:Z548"/>
    <mergeCell ref="AA546:AA548"/>
    <mergeCell ref="AB546:AB548"/>
    <mergeCell ref="AC546:AC548"/>
    <mergeCell ref="AD546:AD547"/>
    <mergeCell ref="AE546:AE551"/>
    <mergeCell ref="C547:E547"/>
    <mergeCell ref="F547:G547"/>
    <mergeCell ref="B548:B549"/>
    <mergeCell ref="C548:E548"/>
    <mergeCell ref="F548:G548"/>
    <mergeCell ref="K548:K549"/>
    <mergeCell ref="M548:M549"/>
    <mergeCell ref="T548:T549"/>
    <mergeCell ref="AD548:AD549"/>
    <mergeCell ref="C549:E549"/>
    <mergeCell ref="F549:G549"/>
    <mergeCell ref="J549:J551"/>
    <mergeCell ref="N549:O551"/>
    <mergeCell ref="P549:Q551"/>
    <mergeCell ref="R549:S551"/>
    <mergeCell ref="Z549:Z551"/>
    <mergeCell ref="AA549:AA551"/>
    <mergeCell ref="AB549:AB551"/>
    <mergeCell ref="N546:O548"/>
    <mergeCell ref="P546:Q548"/>
    <mergeCell ref="R546:S548"/>
    <mergeCell ref="T546:T547"/>
    <mergeCell ref="U546:U551"/>
    <mergeCell ref="V546:V551"/>
    <mergeCell ref="W546:W551"/>
    <mergeCell ref="X546:X551"/>
    <mergeCell ref="Y546:Y551"/>
    <mergeCell ref="A546:A551"/>
    <mergeCell ref="B546:B547"/>
    <mergeCell ref="C546:E546"/>
    <mergeCell ref="F546:G546"/>
    <mergeCell ref="H546:H551"/>
    <mergeCell ref="J546:J548"/>
    <mergeCell ref="K546:K547"/>
    <mergeCell ref="M546:M547"/>
    <mergeCell ref="AC541:AC543"/>
    <mergeCell ref="B542:B543"/>
    <mergeCell ref="C542:E542"/>
    <mergeCell ref="F542:G542"/>
    <mergeCell ref="K542:K543"/>
    <mergeCell ref="M542:M543"/>
    <mergeCell ref="T542:T543"/>
    <mergeCell ref="AD542:AD543"/>
    <mergeCell ref="C543:E543"/>
    <mergeCell ref="F543:G543"/>
    <mergeCell ref="Z538:Z540"/>
    <mergeCell ref="AA538:AA540"/>
    <mergeCell ref="AB538:AB540"/>
    <mergeCell ref="AC538:AC540"/>
    <mergeCell ref="AD538:AD539"/>
    <mergeCell ref="AE538:AE543"/>
    <mergeCell ref="C539:E539"/>
    <mergeCell ref="F539:G539"/>
    <mergeCell ref="B540:B541"/>
    <mergeCell ref="C540:E540"/>
    <mergeCell ref="F540:G540"/>
    <mergeCell ref="K540:K541"/>
    <mergeCell ref="M540:M541"/>
    <mergeCell ref="T540:T541"/>
    <mergeCell ref="AD540:AD541"/>
    <mergeCell ref="C541:E541"/>
    <mergeCell ref="F541:G541"/>
    <mergeCell ref="J541:J543"/>
    <mergeCell ref="N541:O543"/>
    <mergeCell ref="P541:Q543"/>
    <mergeCell ref="R541:S543"/>
    <mergeCell ref="Z541:Z543"/>
    <mergeCell ref="AA541:AA543"/>
    <mergeCell ref="AB541:AB543"/>
    <mergeCell ref="N538:O540"/>
    <mergeCell ref="P538:Q540"/>
    <mergeCell ref="R538:S540"/>
    <mergeCell ref="T538:T539"/>
    <mergeCell ref="U538:U543"/>
    <mergeCell ref="V538:V543"/>
    <mergeCell ref="W538:W543"/>
    <mergeCell ref="X538:X543"/>
    <mergeCell ref="Y538:Y543"/>
    <mergeCell ref="A538:A543"/>
    <mergeCell ref="B538:B539"/>
    <mergeCell ref="C538:E538"/>
    <mergeCell ref="F538:G538"/>
    <mergeCell ref="H538:H543"/>
    <mergeCell ref="J538:J540"/>
    <mergeCell ref="K538:K539"/>
    <mergeCell ref="M538:M539"/>
    <mergeCell ref="AC549:AC551"/>
    <mergeCell ref="B550:B551"/>
    <mergeCell ref="C550:E550"/>
    <mergeCell ref="F550:G550"/>
    <mergeCell ref="K550:K551"/>
    <mergeCell ref="M536:M537"/>
    <mergeCell ref="T536:T537"/>
    <mergeCell ref="AD536:AD537"/>
    <mergeCell ref="C537:E537"/>
    <mergeCell ref="F537:G537"/>
    <mergeCell ref="Z532:Z534"/>
    <mergeCell ref="AA532:AA534"/>
    <mergeCell ref="AB532:AB534"/>
    <mergeCell ref="AC532:AC534"/>
    <mergeCell ref="AD532:AD533"/>
    <mergeCell ref="AE532:AE537"/>
    <mergeCell ref="C533:E533"/>
    <mergeCell ref="F533:G533"/>
    <mergeCell ref="B534:B535"/>
    <mergeCell ref="C534:E534"/>
    <mergeCell ref="F534:G534"/>
    <mergeCell ref="K534:K535"/>
    <mergeCell ref="M534:M535"/>
    <mergeCell ref="T534:T535"/>
    <mergeCell ref="AD534:AD535"/>
    <mergeCell ref="C535:E535"/>
    <mergeCell ref="F535:G535"/>
    <mergeCell ref="J535:J537"/>
    <mergeCell ref="N535:O537"/>
    <mergeCell ref="P535:Q537"/>
    <mergeCell ref="R535:S537"/>
    <mergeCell ref="Z535:Z537"/>
    <mergeCell ref="AA535:AA537"/>
    <mergeCell ref="AB535:AB537"/>
    <mergeCell ref="N532:O534"/>
    <mergeCell ref="P532:Q534"/>
    <mergeCell ref="R532:S534"/>
    <mergeCell ref="T532:T533"/>
    <mergeCell ref="U532:U537"/>
    <mergeCell ref="V532:V537"/>
    <mergeCell ref="W532:W537"/>
    <mergeCell ref="X532:X537"/>
    <mergeCell ref="Y532:Y537"/>
    <mergeCell ref="A532:A537"/>
    <mergeCell ref="B532:B533"/>
    <mergeCell ref="C532:E532"/>
    <mergeCell ref="F532:G532"/>
    <mergeCell ref="H532:H537"/>
    <mergeCell ref="J532:J534"/>
    <mergeCell ref="K532:K533"/>
    <mergeCell ref="M532:M533"/>
    <mergeCell ref="AC529:AC531"/>
    <mergeCell ref="B530:B531"/>
    <mergeCell ref="C530:E530"/>
    <mergeCell ref="F530:G530"/>
    <mergeCell ref="K530:K531"/>
    <mergeCell ref="M530:M531"/>
    <mergeCell ref="T530:T531"/>
    <mergeCell ref="AD530:AD531"/>
    <mergeCell ref="C531:E531"/>
    <mergeCell ref="F531:G531"/>
    <mergeCell ref="Z526:Z528"/>
    <mergeCell ref="AA526:AA528"/>
    <mergeCell ref="AB526:AB528"/>
    <mergeCell ref="AC526:AC528"/>
    <mergeCell ref="AD526:AD527"/>
    <mergeCell ref="AE526:AE531"/>
    <mergeCell ref="C527:E527"/>
    <mergeCell ref="F527:G527"/>
    <mergeCell ref="B528:B529"/>
    <mergeCell ref="C528:E528"/>
    <mergeCell ref="F528:G528"/>
    <mergeCell ref="K528:K529"/>
    <mergeCell ref="M528:M529"/>
    <mergeCell ref="T528:T529"/>
    <mergeCell ref="AD528:AD529"/>
    <mergeCell ref="C529:E529"/>
    <mergeCell ref="F529:G529"/>
    <mergeCell ref="J529:J531"/>
    <mergeCell ref="N529:O531"/>
    <mergeCell ref="P529:Q531"/>
    <mergeCell ref="R529:S531"/>
    <mergeCell ref="Z529:Z531"/>
    <mergeCell ref="AA529:AA531"/>
    <mergeCell ref="AB529:AB531"/>
    <mergeCell ref="N526:O528"/>
    <mergeCell ref="P526:Q528"/>
    <mergeCell ref="R526:S528"/>
    <mergeCell ref="T526:T527"/>
    <mergeCell ref="U526:U531"/>
    <mergeCell ref="V526:V531"/>
    <mergeCell ref="W526:W531"/>
    <mergeCell ref="X526:X531"/>
    <mergeCell ref="Y526:Y531"/>
    <mergeCell ref="A526:A531"/>
    <mergeCell ref="B526:B527"/>
    <mergeCell ref="C526:E526"/>
    <mergeCell ref="F526:G526"/>
    <mergeCell ref="H526:H531"/>
    <mergeCell ref="J526:J528"/>
    <mergeCell ref="K526:K527"/>
    <mergeCell ref="M526:M527"/>
    <mergeCell ref="AC535:AC537"/>
    <mergeCell ref="B536:B537"/>
    <mergeCell ref="C536:E536"/>
    <mergeCell ref="F536:G536"/>
    <mergeCell ref="K536:K537"/>
    <mergeCell ref="M524:M525"/>
    <mergeCell ref="T524:T525"/>
    <mergeCell ref="AD524:AD525"/>
    <mergeCell ref="C525:E525"/>
    <mergeCell ref="F525:G525"/>
    <mergeCell ref="Z520:Z522"/>
    <mergeCell ref="AA520:AA522"/>
    <mergeCell ref="AB520:AB522"/>
    <mergeCell ref="AC520:AC522"/>
    <mergeCell ref="AD520:AD521"/>
    <mergeCell ref="AE520:AE525"/>
    <mergeCell ref="C521:E521"/>
    <mergeCell ref="F521:G521"/>
    <mergeCell ref="B522:B523"/>
    <mergeCell ref="C522:E522"/>
    <mergeCell ref="F522:G522"/>
    <mergeCell ref="K522:K523"/>
    <mergeCell ref="M522:M523"/>
    <mergeCell ref="T522:T523"/>
    <mergeCell ref="AD522:AD523"/>
    <mergeCell ref="C523:E523"/>
    <mergeCell ref="F523:G523"/>
    <mergeCell ref="J523:J525"/>
    <mergeCell ref="N523:O525"/>
    <mergeCell ref="P523:Q525"/>
    <mergeCell ref="R523:S525"/>
    <mergeCell ref="Z523:Z525"/>
    <mergeCell ref="AA523:AA525"/>
    <mergeCell ref="AB523:AB525"/>
    <mergeCell ref="N520:O522"/>
    <mergeCell ref="P520:Q522"/>
    <mergeCell ref="R520:S522"/>
    <mergeCell ref="T520:T521"/>
    <mergeCell ref="U520:U525"/>
    <mergeCell ref="V520:V525"/>
    <mergeCell ref="W520:W525"/>
    <mergeCell ref="X520:X525"/>
    <mergeCell ref="Y520:Y525"/>
    <mergeCell ref="A520:A525"/>
    <mergeCell ref="B520:B521"/>
    <mergeCell ref="C520:E520"/>
    <mergeCell ref="F520:G520"/>
    <mergeCell ref="H520:H525"/>
    <mergeCell ref="J520:J522"/>
    <mergeCell ref="K520:K521"/>
    <mergeCell ref="M520:M521"/>
    <mergeCell ref="AC517:AC519"/>
    <mergeCell ref="B518:B519"/>
    <mergeCell ref="C518:E518"/>
    <mergeCell ref="F518:G518"/>
    <mergeCell ref="K518:K519"/>
    <mergeCell ref="M518:M519"/>
    <mergeCell ref="T518:T519"/>
    <mergeCell ref="AD518:AD519"/>
    <mergeCell ref="C519:E519"/>
    <mergeCell ref="F519:G519"/>
    <mergeCell ref="Z514:Z516"/>
    <mergeCell ref="AA514:AA516"/>
    <mergeCell ref="AB514:AB516"/>
    <mergeCell ref="AC514:AC516"/>
    <mergeCell ref="AD514:AD515"/>
    <mergeCell ref="AE514:AE519"/>
    <mergeCell ref="C515:E515"/>
    <mergeCell ref="F515:G515"/>
    <mergeCell ref="B516:B517"/>
    <mergeCell ref="C516:E516"/>
    <mergeCell ref="F516:G516"/>
    <mergeCell ref="K516:K517"/>
    <mergeCell ref="M516:M517"/>
    <mergeCell ref="T516:T517"/>
    <mergeCell ref="AD516:AD517"/>
    <mergeCell ref="C517:E517"/>
    <mergeCell ref="F517:G517"/>
    <mergeCell ref="J517:J519"/>
    <mergeCell ref="N517:O519"/>
    <mergeCell ref="P517:Q519"/>
    <mergeCell ref="R517:S519"/>
    <mergeCell ref="Z517:Z519"/>
    <mergeCell ref="AA517:AA519"/>
    <mergeCell ref="AB517:AB519"/>
    <mergeCell ref="N514:O516"/>
    <mergeCell ref="P514:Q516"/>
    <mergeCell ref="R514:S516"/>
    <mergeCell ref="T514:T515"/>
    <mergeCell ref="U514:U519"/>
    <mergeCell ref="V514:V519"/>
    <mergeCell ref="W514:W519"/>
    <mergeCell ref="X514:X519"/>
    <mergeCell ref="Y514:Y519"/>
    <mergeCell ref="A514:A519"/>
    <mergeCell ref="B514:B515"/>
    <mergeCell ref="C514:E514"/>
    <mergeCell ref="F514:G514"/>
    <mergeCell ref="H514:H519"/>
    <mergeCell ref="J514:J516"/>
    <mergeCell ref="K514:K515"/>
    <mergeCell ref="M514:M515"/>
    <mergeCell ref="AC523:AC525"/>
    <mergeCell ref="B524:B525"/>
    <mergeCell ref="C524:E524"/>
    <mergeCell ref="F524:G524"/>
    <mergeCell ref="K524:K525"/>
    <mergeCell ref="M510:M511"/>
    <mergeCell ref="T510:T511"/>
    <mergeCell ref="AD510:AD511"/>
    <mergeCell ref="C511:E511"/>
    <mergeCell ref="F511:G511"/>
    <mergeCell ref="Z506:Z508"/>
    <mergeCell ref="AA506:AA508"/>
    <mergeCell ref="AB506:AB508"/>
    <mergeCell ref="AC506:AC508"/>
    <mergeCell ref="AD506:AD507"/>
    <mergeCell ref="AE506:AE511"/>
    <mergeCell ref="C507:E507"/>
    <mergeCell ref="F507:G507"/>
    <mergeCell ref="B508:B509"/>
    <mergeCell ref="C508:E508"/>
    <mergeCell ref="F508:G508"/>
    <mergeCell ref="K508:K509"/>
    <mergeCell ref="M508:M509"/>
    <mergeCell ref="T508:T509"/>
    <mergeCell ref="AD508:AD509"/>
    <mergeCell ref="C509:E509"/>
    <mergeCell ref="F509:G509"/>
    <mergeCell ref="J509:J511"/>
    <mergeCell ref="N509:O511"/>
    <mergeCell ref="P509:Q511"/>
    <mergeCell ref="R509:S511"/>
    <mergeCell ref="Z509:Z511"/>
    <mergeCell ref="AA509:AA511"/>
    <mergeCell ref="AB509:AB511"/>
    <mergeCell ref="N506:O508"/>
    <mergeCell ref="P506:Q508"/>
    <mergeCell ref="R506:S508"/>
    <mergeCell ref="T506:T507"/>
    <mergeCell ref="U506:U511"/>
    <mergeCell ref="V506:V511"/>
    <mergeCell ref="W506:W511"/>
    <mergeCell ref="X506:X511"/>
    <mergeCell ref="Y506:Y511"/>
    <mergeCell ref="A506:A511"/>
    <mergeCell ref="B506:B507"/>
    <mergeCell ref="C506:E506"/>
    <mergeCell ref="F506:G506"/>
    <mergeCell ref="H506:H511"/>
    <mergeCell ref="J506:J508"/>
    <mergeCell ref="K506:K507"/>
    <mergeCell ref="M506:M507"/>
    <mergeCell ref="AC503:AC505"/>
    <mergeCell ref="B504:B505"/>
    <mergeCell ref="C504:E504"/>
    <mergeCell ref="F504:G504"/>
    <mergeCell ref="K504:K505"/>
    <mergeCell ref="M504:M505"/>
    <mergeCell ref="T504:T505"/>
    <mergeCell ref="AD504:AD505"/>
    <mergeCell ref="C505:E505"/>
    <mergeCell ref="F505:G505"/>
    <mergeCell ref="Z500:Z502"/>
    <mergeCell ref="AA500:AA502"/>
    <mergeCell ref="AB500:AB502"/>
    <mergeCell ref="AC500:AC502"/>
    <mergeCell ref="AD500:AD501"/>
    <mergeCell ref="AE500:AE505"/>
    <mergeCell ref="C501:E501"/>
    <mergeCell ref="F501:G501"/>
    <mergeCell ref="B502:B503"/>
    <mergeCell ref="C502:E502"/>
    <mergeCell ref="F502:G502"/>
    <mergeCell ref="K502:K503"/>
    <mergeCell ref="M502:M503"/>
    <mergeCell ref="T502:T503"/>
    <mergeCell ref="AD502:AD503"/>
    <mergeCell ref="C503:E503"/>
    <mergeCell ref="F503:G503"/>
    <mergeCell ref="J503:J505"/>
    <mergeCell ref="N503:O505"/>
    <mergeCell ref="P503:Q505"/>
    <mergeCell ref="R503:S505"/>
    <mergeCell ref="Z503:Z505"/>
    <mergeCell ref="AA503:AA505"/>
    <mergeCell ref="AB503:AB505"/>
    <mergeCell ref="N500:O502"/>
    <mergeCell ref="P500:Q502"/>
    <mergeCell ref="R500:S502"/>
    <mergeCell ref="T500:T501"/>
    <mergeCell ref="U500:U505"/>
    <mergeCell ref="V500:V505"/>
    <mergeCell ref="W500:W505"/>
    <mergeCell ref="X500:X505"/>
    <mergeCell ref="Y500:Y505"/>
    <mergeCell ref="A500:A505"/>
    <mergeCell ref="B500:B501"/>
    <mergeCell ref="C500:E500"/>
    <mergeCell ref="F500:G500"/>
    <mergeCell ref="H500:H505"/>
    <mergeCell ref="J500:J502"/>
    <mergeCell ref="K500:K501"/>
    <mergeCell ref="M500:M501"/>
    <mergeCell ref="AC509:AC511"/>
    <mergeCell ref="B510:B511"/>
    <mergeCell ref="C510:E510"/>
    <mergeCell ref="F510:G510"/>
    <mergeCell ref="K510:K511"/>
    <mergeCell ref="M498:M499"/>
    <mergeCell ref="T498:T499"/>
    <mergeCell ref="AD498:AD499"/>
    <mergeCell ref="C499:E499"/>
    <mergeCell ref="F499:G499"/>
    <mergeCell ref="Z494:Z496"/>
    <mergeCell ref="AA494:AA496"/>
    <mergeCell ref="AB494:AB496"/>
    <mergeCell ref="AC494:AC496"/>
    <mergeCell ref="AD494:AD495"/>
    <mergeCell ref="AE494:AE499"/>
    <mergeCell ref="C495:E495"/>
    <mergeCell ref="F495:G495"/>
    <mergeCell ref="B496:B497"/>
    <mergeCell ref="C496:E496"/>
    <mergeCell ref="F496:G496"/>
    <mergeCell ref="K496:K497"/>
    <mergeCell ref="M496:M497"/>
    <mergeCell ref="T496:T497"/>
    <mergeCell ref="AD496:AD497"/>
    <mergeCell ref="C497:E497"/>
    <mergeCell ref="F497:G497"/>
    <mergeCell ref="J497:J499"/>
    <mergeCell ref="N497:O499"/>
    <mergeCell ref="P497:Q499"/>
    <mergeCell ref="R497:S499"/>
    <mergeCell ref="Z497:Z499"/>
    <mergeCell ref="AA497:AA499"/>
    <mergeCell ref="AB497:AB499"/>
    <mergeCell ref="N494:O496"/>
    <mergeCell ref="P494:Q496"/>
    <mergeCell ref="R494:S496"/>
    <mergeCell ref="T494:T495"/>
    <mergeCell ref="U494:U499"/>
    <mergeCell ref="V494:V499"/>
    <mergeCell ref="W494:W499"/>
    <mergeCell ref="X494:X499"/>
    <mergeCell ref="Y494:Y499"/>
    <mergeCell ref="A494:A499"/>
    <mergeCell ref="B494:B495"/>
    <mergeCell ref="C494:E494"/>
    <mergeCell ref="F494:G494"/>
    <mergeCell ref="H494:H499"/>
    <mergeCell ref="J494:J496"/>
    <mergeCell ref="K494:K495"/>
    <mergeCell ref="M494:M495"/>
    <mergeCell ref="AC491:AC493"/>
    <mergeCell ref="B492:B493"/>
    <mergeCell ref="C492:E492"/>
    <mergeCell ref="F492:G492"/>
    <mergeCell ref="K492:K493"/>
    <mergeCell ref="M492:M493"/>
    <mergeCell ref="T492:T493"/>
    <mergeCell ref="AD492:AD493"/>
    <mergeCell ref="C493:E493"/>
    <mergeCell ref="F493:G493"/>
    <mergeCell ref="Z488:Z490"/>
    <mergeCell ref="AA488:AA490"/>
    <mergeCell ref="AB488:AB490"/>
    <mergeCell ref="AC488:AC490"/>
    <mergeCell ref="AD488:AD489"/>
    <mergeCell ref="AE488:AE493"/>
    <mergeCell ref="C489:E489"/>
    <mergeCell ref="F489:G489"/>
    <mergeCell ref="B490:B491"/>
    <mergeCell ref="C490:E490"/>
    <mergeCell ref="F490:G490"/>
    <mergeCell ref="K490:K491"/>
    <mergeCell ref="M490:M491"/>
    <mergeCell ref="T490:T491"/>
    <mergeCell ref="AD490:AD491"/>
    <mergeCell ref="C491:E491"/>
    <mergeCell ref="F491:G491"/>
    <mergeCell ref="J491:J493"/>
    <mergeCell ref="N491:O493"/>
    <mergeCell ref="P491:Q493"/>
    <mergeCell ref="R491:S493"/>
    <mergeCell ref="Z491:Z493"/>
    <mergeCell ref="AA491:AA493"/>
    <mergeCell ref="AB491:AB493"/>
    <mergeCell ref="N488:O490"/>
    <mergeCell ref="P488:Q490"/>
    <mergeCell ref="R488:S490"/>
    <mergeCell ref="T488:T489"/>
    <mergeCell ref="U488:U493"/>
    <mergeCell ref="V488:V493"/>
    <mergeCell ref="W488:W493"/>
    <mergeCell ref="X488:X493"/>
    <mergeCell ref="Y488:Y493"/>
    <mergeCell ref="A488:A493"/>
    <mergeCell ref="B488:B489"/>
    <mergeCell ref="C488:E488"/>
    <mergeCell ref="F488:G488"/>
    <mergeCell ref="H488:H493"/>
    <mergeCell ref="J488:J490"/>
    <mergeCell ref="K488:K489"/>
    <mergeCell ref="M488:M489"/>
    <mergeCell ref="AC497:AC499"/>
    <mergeCell ref="B498:B499"/>
    <mergeCell ref="C498:E498"/>
    <mergeCell ref="F498:G498"/>
    <mergeCell ref="K498:K499"/>
    <mergeCell ref="M486:M487"/>
    <mergeCell ref="T486:T487"/>
    <mergeCell ref="AD486:AD487"/>
    <mergeCell ref="C487:E487"/>
    <mergeCell ref="F487:G487"/>
    <mergeCell ref="Z482:Z484"/>
    <mergeCell ref="AA482:AA484"/>
    <mergeCell ref="AB482:AB484"/>
    <mergeCell ref="AC482:AC484"/>
    <mergeCell ref="AD482:AD483"/>
    <mergeCell ref="AE482:AE487"/>
    <mergeCell ref="C483:E483"/>
    <mergeCell ref="F483:G483"/>
    <mergeCell ref="B484:B485"/>
    <mergeCell ref="C484:E484"/>
    <mergeCell ref="F484:G484"/>
    <mergeCell ref="K484:K485"/>
    <mergeCell ref="M484:M485"/>
    <mergeCell ref="T484:T485"/>
    <mergeCell ref="AD484:AD485"/>
    <mergeCell ref="C485:E485"/>
    <mergeCell ref="F485:G485"/>
    <mergeCell ref="J485:J487"/>
    <mergeCell ref="N485:O487"/>
    <mergeCell ref="P485:Q487"/>
    <mergeCell ref="R485:S487"/>
    <mergeCell ref="Z485:Z487"/>
    <mergeCell ref="AA485:AA487"/>
    <mergeCell ref="AB485:AB487"/>
    <mergeCell ref="N482:O484"/>
    <mergeCell ref="P482:Q484"/>
    <mergeCell ref="R482:S484"/>
    <mergeCell ref="T482:T483"/>
    <mergeCell ref="U482:U487"/>
    <mergeCell ref="V482:V487"/>
    <mergeCell ref="W482:W487"/>
    <mergeCell ref="X482:X487"/>
    <mergeCell ref="Y482:Y487"/>
    <mergeCell ref="A482:A487"/>
    <mergeCell ref="B482:B483"/>
    <mergeCell ref="C482:E482"/>
    <mergeCell ref="F482:G482"/>
    <mergeCell ref="H482:H487"/>
    <mergeCell ref="J482:J484"/>
    <mergeCell ref="K482:K483"/>
    <mergeCell ref="M482:M483"/>
    <mergeCell ref="AC477:AC479"/>
    <mergeCell ref="B478:B479"/>
    <mergeCell ref="C478:E478"/>
    <mergeCell ref="F478:G478"/>
    <mergeCell ref="K478:K479"/>
    <mergeCell ref="M478:M479"/>
    <mergeCell ref="T478:T479"/>
    <mergeCell ref="AD478:AD479"/>
    <mergeCell ref="C479:E479"/>
    <mergeCell ref="F479:G479"/>
    <mergeCell ref="Z474:Z476"/>
    <mergeCell ref="AA474:AA476"/>
    <mergeCell ref="AB474:AB476"/>
    <mergeCell ref="AC474:AC476"/>
    <mergeCell ref="AD474:AD475"/>
    <mergeCell ref="AE474:AE479"/>
    <mergeCell ref="C475:E475"/>
    <mergeCell ref="F475:G475"/>
    <mergeCell ref="B476:B477"/>
    <mergeCell ref="C476:E476"/>
    <mergeCell ref="F476:G476"/>
    <mergeCell ref="K476:K477"/>
    <mergeCell ref="M476:M477"/>
    <mergeCell ref="T476:T477"/>
    <mergeCell ref="AD476:AD477"/>
    <mergeCell ref="C477:E477"/>
    <mergeCell ref="F477:G477"/>
    <mergeCell ref="J477:J479"/>
    <mergeCell ref="N477:O479"/>
    <mergeCell ref="P477:Q479"/>
    <mergeCell ref="R477:S479"/>
    <mergeCell ref="Z477:Z479"/>
    <mergeCell ref="AA477:AA479"/>
    <mergeCell ref="AB477:AB479"/>
    <mergeCell ref="N474:O476"/>
    <mergeCell ref="P474:Q476"/>
    <mergeCell ref="R474:S476"/>
    <mergeCell ref="T474:T475"/>
    <mergeCell ref="U474:U479"/>
    <mergeCell ref="V474:V479"/>
    <mergeCell ref="W474:W479"/>
    <mergeCell ref="X474:X479"/>
    <mergeCell ref="Y474:Y479"/>
    <mergeCell ref="A474:A479"/>
    <mergeCell ref="B474:B475"/>
    <mergeCell ref="C474:E474"/>
    <mergeCell ref="F474:G474"/>
    <mergeCell ref="H474:H479"/>
    <mergeCell ref="J474:J476"/>
    <mergeCell ref="K474:K475"/>
    <mergeCell ref="M474:M475"/>
    <mergeCell ref="AC485:AC487"/>
    <mergeCell ref="B486:B487"/>
    <mergeCell ref="C486:E486"/>
    <mergeCell ref="F486:G486"/>
    <mergeCell ref="K486:K487"/>
    <mergeCell ref="M472:M473"/>
    <mergeCell ref="T472:T473"/>
    <mergeCell ref="AD472:AD473"/>
    <mergeCell ref="C473:E473"/>
    <mergeCell ref="F473:G473"/>
    <mergeCell ref="Z468:Z470"/>
    <mergeCell ref="AA468:AA470"/>
    <mergeCell ref="AB468:AB470"/>
    <mergeCell ref="AC468:AC470"/>
    <mergeCell ref="AD468:AD469"/>
    <mergeCell ref="AE468:AE473"/>
    <mergeCell ref="C469:E469"/>
    <mergeCell ref="F469:G469"/>
    <mergeCell ref="B470:B471"/>
    <mergeCell ref="C470:E470"/>
    <mergeCell ref="F470:G470"/>
    <mergeCell ref="K470:K471"/>
    <mergeCell ref="M470:M471"/>
    <mergeCell ref="T470:T471"/>
    <mergeCell ref="AD470:AD471"/>
    <mergeCell ref="C471:E471"/>
    <mergeCell ref="F471:G471"/>
    <mergeCell ref="J471:J473"/>
    <mergeCell ref="N471:O473"/>
    <mergeCell ref="P471:Q473"/>
    <mergeCell ref="R471:S473"/>
    <mergeCell ref="Z471:Z473"/>
    <mergeCell ref="AA471:AA473"/>
    <mergeCell ref="AB471:AB473"/>
    <mergeCell ref="N468:O470"/>
    <mergeCell ref="P468:Q470"/>
    <mergeCell ref="R468:S470"/>
    <mergeCell ref="T468:T469"/>
    <mergeCell ref="U468:U473"/>
    <mergeCell ref="V468:V473"/>
    <mergeCell ref="W468:W473"/>
    <mergeCell ref="X468:X473"/>
    <mergeCell ref="Y468:Y473"/>
    <mergeCell ref="A468:A473"/>
    <mergeCell ref="B468:B469"/>
    <mergeCell ref="C468:E468"/>
    <mergeCell ref="F468:G468"/>
    <mergeCell ref="H468:H473"/>
    <mergeCell ref="J468:J470"/>
    <mergeCell ref="K468:K469"/>
    <mergeCell ref="M468:M469"/>
    <mergeCell ref="AC465:AC467"/>
    <mergeCell ref="B466:B467"/>
    <mergeCell ref="C466:E466"/>
    <mergeCell ref="F466:G466"/>
    <mergeCell ref="K466:K467"/>
    <mergeCell ref="M466:M467"/>
    <mergeCell ref="T466:T467"/>
    <mergeCell ref="AD466:AD467"/>
    <mergeCell ref="C467:E467"/>
    <mergeCell ref="F467:G467"/>
    <mergeCell ref="Z462:Z464"/>
    <mergeCell ref="AA462:AA464"/>
    <mergeCell ref="AB462:AB464"/>
    <mergeCell ref="AC462:AC464"/>
    <mergeCell ref="AD462:AD463"/>
    <mergeCell ref="AE462:AE467"/>
    <mergeCell ref="C463:E463"/>
    <mergeCell ref="F463:G463"/>
    <mergeCell ref="B464:B465"/>
    <mergeCell ref="C464:E464"/>
    <mergeCell ref="F464:G464"/>
    <mergeCell ref="K464:K465"/>
    <mergeCell ref="M464:M465"/>
    <mergeCell ref="T464:T465"/>
    <mergeCell ref="AD464:AD465"/>
    <mergeCell ref="C465:E465"/>
    <mergeCell ref="F465:G465"/>
    <mergeCell ref="J465:J467"/>
    <mergeCell ref="N465:O467"/>
    <mergeCell ref="P465:Q467"/>
    <mergeCell ref="R465:S467"/>
    <mergeCell ref="Z465:Z467"/>
    <mergeCell ref="AA465:AA467"/>
    <mergeCell ref="AB465:AB467"/>
    <mergeCell ref="N462:O464"/>
    <mergeCell ref="P462:Q464"/>
    <mergeCell ref="R462:S464"/>
    <mergeCell ref="T462:T463"/>
    <mergeCell ref="U462:U467"/>
    <mergeCell ref="V462:V467"/>
    <mergeCell ref="W462:W467"/>
    <mergeCell ref="X462:X467"/>
    <mergeCell ref="Y462:Y467"/>
    <mergeCell ref="A462:A467"/>
    <mergeCell ref="B462:B463"/>
    <mergeCell ref="C462:E462"/>
    <mergeCell ref="F462:G462"/>
    <mergeCell ref="H462:H467"/>
    <mergeCell ref="J462:J464"/>
    <mergeCell ref="K462:K463"/>
    <mergeCell ref="M462:M463"/>
    <mergeCell ref="AC471:AC473"/>
    <mergeCell ref="B472:B473"/>
    <mergeCell ref="C472:E472"/>
    <mergeCell ref="F472:G472"/>
    <mergeCell ref="K472:K473"/>
    <mergeCell ref="M460:M461"/>
    <mergeCell ref="T460:T461"/>
    <mergeCell ref="AD460:AD461"/>
    <mergeCell ref="C461:E461"/>
    <mergeCell ref="F461:G461"/>
    <mergeCell ref="Z456:Z458"/>
    <mergeCell ref="AA456:AA458"/>
    <mergeCell ref="AB456:AB458"/>
    <mergeCell ref="AC456:AC458"/>
    <mergeCell ref="AD456:AD457"/>
    <mergeCell ref="AE456:AE461"/>
    <mergeCell ref="C457:E457"/>
    <mergeCell ref="F457:G457"/>
    <mergeCell ref="B458:B459"/>
    <mergeCell ref="C458:E458"/>
    <mergeCell ref="F458:G458"/>
    <mergeCell ref="K458:K459"/>
    <mergeCell ref="M458:M459"/>
    <mergeCell ref="T458:T459"/>
    <mergeCell ref="AD458:AD459"/>
    <mergeCell ref="C459:E459"/>
    <mergeCell ref="F459:G459"/>
    <mergeCell ref="J459:J461"/>
    <mergeCell ref="N459:O461"/>
    <mergeCell ref="P459:Q461"/>
    <mergeCell ref="R459:S461"/>
    <mergeCell ref="Z459:Z461"/>
    <mergeCell ref="AA459:AA461"/>
    <mergeCell ref="AB459:AB461"/>
    <mergeCell ref="N456:O458"/>
    <mergeCell ref="P456:Q458"/>
    <mergeCell ref="R456:S458"/>
    <mergeCell ref="T456:T457"/>
    <mergeCell ref="U456:U461"/>
    <mergeCell ref="V456:V461"/>
    <mergeCell ref="W456:W461"/>
    <mergeCell ref="X456:X461"/>
    <mergeCell ref="Y456:Y461"/>
    <mergeCell ref="A456:A461"/>
    <mergeCell ref="B456:B457"/>
    <mergeCell ref="C456:E456"/>
    <mergeCell ref="F456:G456"/>
    <mergeCell ref="H456:H461"/>
    <mergeCell ref="J456:J458"/>
    <mergeCell ref="K456:K457"/>
    <mergeCell ref="M456:M457"/>
    <mergeCell ref="AC453:AC455"/>
    <mergeCell ref="B454:B455"/>
    <mergeCell ref="C454:E454"/>
    <mergeCell ref="F454:G454"/>
    <mergeCell ref="K454:K455"/>
    <mergeCell ref="M454:M455"/>
    <mergeCell ref="T454:T455"/>
    <mergeCell ref="AD454:AD455"/>
    <mergeCell ref="C455:E455"/>
    <mergeCell ref="F455:G455"/>
    <mergeCell ref="Z450:Z452"/>
    <mergeCell ref="AA450:AA452"/>
    <mergeCell ref="AB450:AB452"/>
    <mergeCell ref="AC450:AC452"/>
    <mergeCell ref="AD450:AD451"/>
    <mergeCell ref="AE450:AE455"/>
    <mergeCell ref="C451:E451"/>
    <mergeCell ref="F451:G451"/>
    <mergeCell ref="B452:B453"/>
    <mergeCell ref="C452:E452"/>
    <mergeCell ref="F452:G452"/>
    <mergeCell ref="K452:K453"/>
    <mergeCell ref="M452:M453"/>
    <mergeCell ref="T452:T453"/>
    <mergeCell ref="AD452:AD453"/>
    <mergeCell ref="C453:E453"/>
    <mergeCell ref="F453:G453"/>
    <mergeCell ref="J453:J455"/>
    <mergeCell ref="N453:O455"/>
    <mergeCell ref="P453:Q455"/>
    <mergeCell ref="R453:S455"/>
    <mergeCell ref="Z453:Z455"/>
    <mergeCell ref="AA453:AA455"/>
    <mergeCell ref="AB453:AB455"/>
    <mergeCell ref="N450:O452"/>
    <mergeCell ref="P450:Q452"/>
    <mergeCell ref="R450:S452"/>
    <mergeCell ref="T450:T451"/>
    <mergeCell ref="U450:U455"/>
    <mergeCell ref="V450:V455"/>
    <mergeCell ref="W450:W455"/>
    <mergeCell ref="X450:X455"/>
    <mergeCell ref="Y450:Y455"/>
    <mergeCell ref="A450:A455"/>
    <mergeCell ref="B450:B451"/>
    <mergeCell ref="C450:E450"/>
    <mergeCell ref="F450:G450"/>
    <mergeCell ref="H450:H455"/>
    <mergeCell ref="J450:J452"/>
    <mergeCell ref="K450:K451"/>
    <mergeCell ref="M450:M451"/>
    <mergeCell ref="AC459:AC461"/>
    <mergeCell ref="B460:B461"/>
    <mergeCell ref="C460:E460"/>
    <mergeCell ref="F460:G460"/>
    <mergeCell ref="K460:K461"/>
    <mergeCell ref="M446:M447"/>
    <mergeCell ref="T446:T447"/>
    <mergeCell ref="AD446:AD447"/>
    <mergeCell ref="C447:E447"/>
    <mergeCell ref="F447:G447"/>
    <mergeCell ref="Z442:Z444"/>
    <mergeCell ref="AA442:AA444"/>
    <mergeCell ref="AB442:AB444"/>
    <mergeCell ref="AC442:AC444"/>
    <mergeCell ref="AD442:AD443"/>
    <mergeCell ref="AE442:AE447"/>
    <mergeCell ref="C443:E443"/>
    <mergeCell ref="F443:G443"/>
    <mergeCell ref="B444:B445"/>
    <mergeCell ref="C444:E444"/>
    <mergeCell ref="F444:G444"/>
    <mergeCell ref="K444:K445"/>
    <mergeCell ref="M444:M445"/>
    <mergeCell ref="T444:T445"/>
    <mergeCell ref="AD444:AD445"/>
    <mergeCell ref="C445:E445"/>
    <mergeCell ref="F445:G445"/>
    <mergeCell ref="J445:J447"/>
    <mergeCell ref="N445:O447"/>
    <mergeCell ref="P445:Q447"/>
    <mergeCell ref="R445:S447"/>
    <mergeCell ref="Z445:Z447"/>
    <mergeCell ref="AA445:AA447"/>
    <mergeCell ref="AB445:AB447"/>
    <mergeCell ref="N442:O444"/>
    <mergeCell ref="P442:Q444"/>
    <mergeCell ref="R442:S444"/>
    <mergeCell ref="T442:T443"/>
    <mergeCell ref="U442:U447"/>
    <mergeCell ref="V442:V447"/>
    <mergeCell ref="W442:W447"/>
    <mergeCell ref="X442:X447"/>
    <mergeCell ref="Y442:Y447"/>
    <mergeCell ref="A442:A447"/>
    <mergeCell ref="B442:B443"/>
    <mergeCell ref="C442:E442"/>
    <mergeCell ref="F442:G442"/>
    <mergeCell ref="H442:H447"/>
    <mergeCell ref="J442:J444"/>
    <mergeCell ref="K442:K443"/>
    <mergeCell ref="M442:M443"/>
    <mergeCell ref="AC439:AC441"/>
    <mergeCell ref="B440:B441"/>
    <mergeCell ref="C440:E440"/>
    <mergeCell ref="F440:G440"/>
    <mergeCell ref="K440:K441"/>
    <mergeCell ref="M440:M441"/>
    <mergeCell ref="T440:T441"/>
    <mergeCell ref="AD440:AD441"/>
    <mergeCell ref="C441:E441"/>
    <mergeCell ref="F441:G441"/>
    <mergeCell ref="Z436:Z438"/>
    <mergeCell ref="AA436:AA438"/>
    <mergeCell ref="AB436:AB438"/>
    <mergeCell ref="AC436:AC438"/>
    <mergeCell ref="AD436:AD437"/>
    <mergeCell ref="AE436:AE441"/>
    <mergeCell ref="C437:E437"/>
    <mergeCell ref="F437:G437"/>
    <mergeCell ref="B438:B439"/>
    <mergeCell ref="C438:E438"/>
    <mergeCell ref="F438:G438"/>
    <mergeCell ref="K438:K439"/>
    <mergeCell ref="M438:M439"/>
    <mergeCell ref="T438:T439"/>
    <mergeCell ref="AD438:AD439"/>
    <mergeCell ref="C439:E439"/>
    <mergeCell ref="F439:G439"/>
    <mergeCell ref="J439:J441"/>
    <mergeCell ref="N439:O441"/>
    <mergeCell ref="P439:Q441"/>
    <mergeCell ref="R439:S441"/>
    <mergeCell ref="Z439:Z441"/>
    <mergeCell ref="AA439:AA441"/>
    <mergeCell ref="AB439:AB441"/>
    <mergeCell ref="N436:O438"/>
    <mergeCell ref="P436:Q438"/>
    <mergeCell ref="R436:S438"/>
    <mergeCell ref="T436:T437"/>
    <mergeCell ref="U436:U441"/>
    <mergeCell ref="V436:V441"/>
    <mergeCell ref="W436:W441"/>
    <mergeCell ref="X436:X441"/>
    <mergeCell ref="Y436:Y441"/>
    <mergeCell ref="A436:A441"/>
    <mergeCell ref="B436:B437"/>
    <mergeCell ref="C436:E436"/>
    <mergeCell ref="F436:G436"/>
    <mergeCell ref="H436:H441"/>
    <mergeCell ref="J436:J438"/>
    <mergeCell ref="K436:K437"/>
    <mergeCell ref="M436:M437"/>
    <mergeCell ref="AC445:AC447"/>
    <mergeCell ref="B446:B447"/>
    <mergeCell ref="C446:E446"/>
    <mergeCell ref="F446:G446"/>
    <mergeCell ref="K446:K447"/>
    <mergeCell ref="M434:M435"/>
    <mergeCell ref="T434:T435"/>
    <mergeCell ref="AD434:AD435"/>
    <mergeCell ref="C435:E435"/>
    <mergeCell ref="F435:G435"/>
    <mergeCell ref="Z430:Z432"/>
    <mergeCell ref="AA430:AA432"/>
    <mergeCell ref="AB430:AB432"/>
    <mergeCell ref="AC430:AC432"/>
    <mergeCell ref="AD430:AD431"/>
    <mergeCell ref="AE430:AE435"/>
    <mergeCell ref="C431:E431"/>
    <mergeCell ref="F431:G431"/>
    <mergeCell ref="B432:B433"/>
    <mergeCell ref="C432:E432"/>
    <mergeCell ref="F432:G432"/>
    <mergeCell ref="K432:K433"/>
    <mergeCell ref="M432:M433"/>
    <mergeCell ref="T432:T433"/>
    <mergeCell ref="AD432:AD433"/>
    <mergeCell ref="C433:E433"/>
    <mergeCell ref="F433:G433"/>
    <mergeCell ref="J433:J435"/>
    <mergeCell ref="N433:O435"/>
    <mergeCell ref="P433:Q435"/>
    <mergeCell ref="R433:S435"/>
    <mergeCell ref="Z433:Z435"/>
    <mergeCell ref="AA433:AA435"/>
    <mergeCell ref="AB433:AB435"/>
    <mergeCell ref="N430:O432"/>
    <mergeCell ref="P430:Q432"/>
    <mergeCell ref="R430:S432"/>
    <mergeCell ref="T430:T431"/>
    <mergeCell ref="U430:U435"/>
    <mergeCell ref="V430:V435"/>
    <mergeCell ref="W430:W435"/>
    <mergeCell ref="X430:X435"/>
    <mergeCell ref="Y430:Y435"/>
    <mergeCell ref="A430:A435"/>
    <mergeCell ref="B430:B431"/>
    <mergeCell ref="C430:E430"/>
    <mergeCell ref="F430:G430"/>
    <mergeCell ref="H430:H435"/>
    <mergeCell ref="J430:J432"/>
    <mergeCell ref="K430:K431"/>
    <mergeCell ref="M430:M431"/>
    <mergeCell ref="AC427:AC429"/>
    <mergeCell ref="B428:B429"/>
    <mergeCell ref="C428:E428"/>
    <mergeCell ref="F428:G428"/>
    <mergeCell ref="K428:K429"/>
    <mergeCell ref="M428:M429"/>
    <mergeCell ref="T428:T429"/>
    <mergeCell ref="AD428:AD429"/>
    <mergeCell ref="C429:E429"/>
    <mergeCell ref="F429:G429"/>
    <mergeCell ref="Z424:Z426"/>
    <mergeCell ref="AA424:AA426"/>
    <mergeCell ref="AB424:AB426"/>
    <mergeCell ref="AC424:AC426"/>
    <mergeCell ref="AD424:AD425"/>
    <mergeCell ref="AE424:AE429"/>
    <mergeCell ref="C425:E425"/>
    <mergeCell ref="F425:G425"/>
    <mergeCell ref="B426:B427"/>
    <mergeCell ref="C426:E426"/>
    <mergeCell ref="F426:G426"/>
    <mergeCell ref="K426:K427"/>
    <mergeCell ref="M426:M427"/>
    <mergeCell ref="T426:T427"/>
    <mergeCell ref="AD426:AD427"/>
    <mergeCell ref="C427:E427"/>
    <mergeCell ref="F427:G427"/>
    <mergeCell ref="J427:J429"/>
    <mergeCell ref="N427:O429"/>
    <mergeCell ref="P427:Q429"/>
    <mergeCell ref="R427:S429"/>
    <mergeCell ref="Z427:Z429"/>
    <mergeCell ref="AA427:AA429"/>
    <mergeCell ref="AB427:AB429"/>
    <mergeCell ref="N424:O426"/>
    <mergeCell ref="P424:Q426"/>
    <mergeCell ref="R424:S426"/>
    <mergeCell ref="T424:T425"/>
    <mergeCell ref="U424:U429"/>
    <mergeCell ref="V424:V429"/>
    <mergeCell ref="W424:W429"/>
    <mergeCell ref="X424:X429"/>
    <mergeCell ref="Y424:Y429"/>
    <mergeCell ref="A424:A429"/>
    <mergeCell ref="B424:B425"/>
    <mergeCell ref="C424:E424"/>
    <mergeCell ref="F424:G424"/>
    <mergeCell ref="H424:H429"/>
    <mergeCell ref="J424:J426"/>
    <mergeCell ref="K424:K425"/>
    <mergeCell ref="M424:M425"/>
    <mergeCell ref="AC433:AC435"/>
    <mergeCell ref="B434:B435"/>
    <mergeCell ref="C434:E434"/>
    <mergeCell ref="F434:G434"/>
    <mergeCell ref="K434:K435"/>
    <mergeCell ref="M422:M423"/>
    <mergeCell ref="T422:T423"/>
    <mergeCell ref="AD422:AD423"/>
    <mergeCell ref="C423:E423"/>
    <mergeCell ref="F423:G423"/>
    <mergeCell ref="Z418:Z420"/>
    <mergeCell ref="AA418:AA420"/>
    <mergeCell ref="AB418:AB420"/>
    <mergeCell ref="AC418:AC420"/>
    <mergeCell ref="AD418:AD419"/>
    <mergeCell ref="AE418:AE423"/>
    <mergeCell ref="C419:E419"/>
    <mergeCell ref="F419:G419"/>
    <mergeCell ref="B420:B421"/>
    <mergeCell ref="C420:E420"/>
    <mergeCell ref="F420:G420"/>
    <mergeCell ref="K420:K421"/>
    <mergeCell ref="M420:M421"/>
    <mergeCell ref="T420:T421"/>
    <mergeCell ref="AD420:AD421"/>
    <mergeCell ref="C421:E421"/>
    <mergeCell ref="F421:G421"/>
    <mergeCell ref="J421:J423"/>
    <mergeCell ref="N421:O423"/>
    <mergeCell ref="P421:Q423"/>
    <mergeCell ref="R421:S423"/>
    <mergeCell ref="Z421:Z423"/>
    <mergeCell ref="AA421:AA423"/>
    <mergeCell ref="AB421:AB423"/>
    <mergeCell ref="N418:O420"/>
    <mergeCell ref="P418:Q420"/>
    <mergeCell ref="R418:S420"/>
    <mergeCell ref="T418:T419"/>
    <mergeCell ref="U418:U423"/>
    <mergeCell ref="V418:V423"/>
    <mergeCell ref="W418:W423"/>
    <mergeCell ref="X418:X423"/>
    <mergeCell ref="Y418:Y423"/>
    <mergeCell ref="A418:A423"/>
    <mergeCell ref="B418:B419"/>
    <mergeCell ref="C418:E418"/>
    <mergeCell ref="F418:G418"/>
    <mergeCell ref="H418:H423"/>
    <mergeCell ref="J418:J420"/>
    <mergeCell ref="K418:K419"/>
    <mergeCell ref="M418:M419"/>
    <mergeCell ref="AC413:AC415"/>
    <mergeCell ref="B414:B415"/>
    <mergeCell ref="C414:E414"/>
    <mergeCell ref="F414:G414"/>
    <mergeCell ref="K414:K415"/>
    <mergeCell ref="M414:M415"/>
    <mergeCell ref="T414:T415"/>
    <mergeCell ref="AD414:AD415"/>
    <mergeCell ref="C415:E415"/>
    <mergeCell ref="F415:G415"/>
    <mergeCell ref="Z410:Z412"/>
    <mergeCell ref="AA410:AA412"/>
    <mergeCell ref="AB410:AB412"/>
    <mergeCell ref="AC410:AC412"/>
    <mergeCell ref="AD410:AD411"/>
    <mergeCell ref="AE410:AE415"/>
    <mergeCell ref="C411:E411"/>
    <mergeCell ref="F411:G411"/>
    <mergeCell ref="B412:B413"/>
    <mergeCell ref="C412:E412"/>
    <mergeCell ref="F412:G412"/>
    <mergeCell ref="K412:K413"/>
    <mergeCell ref="M412:M413"/>
    <mergeCell ref="T412:T413"/>
    <mergeCell ref="AD412:AD413"/>
    <mergeCell ref="C413:E413"/>
    <mergeCell ref="F413:G413"/>
    <mergeCell ref="J413:J415"/>
    <mergeCell ref="N413:O415"/>
    <mergeCell ref="P413:Q415"/>
    <mergeCell ref="R413:S415"/>
    <mergeCell ref="Z413:Z415"/>
    <mergeCell ref="AA413:AA415"/>
    <mergeCell ref="AB413:AB415"/>
    <mergeCell ref="N410:O412"/>
    <mergeCell ref="P410:Q412"/>
    <mergeCell ref="R410:S412"/>
    <mergeCell ref="T410:T411"/>
    <mergeCell ref="U410:U415"/>
    <mergeCell ref="V410:V415"/>
    <mergeCell ref="W410:W415"/>
    <mergeCell ref="X410:X415"/>
    <mergeCell ref="Y410:Y415"/>
    <mergeCell ref="A410:A415"/>
    <mergeCell ref="B410:B411"/>
    <mergeCell ref="C410:E410"/>
    <mergeCell ref="F410:G410"/>
    <mergeCell ref="H410:H415"/>
    <mergeCell ref="J410:J412"/>
    <mergeCell ref="K410:K411"/>
    <mergeCell ref="M410:M411"/>
    <mergeCell ref="AC421:AC423"/>
    <mergeCell ref="B422:B423"/>
    <mergeCell ref="C422:E422"/>
    <mergeCell ref="F422:G422"/>
    <mergeCell ref="K422:K423"/>
    <mergeCell ref="M408:M409"/>
    <mergeCell ref="T408:T409"/>
    <mergeCell ref="AD408:AD409"/>
    <mergeCell ref="C409:E409"/>
    <mergeCell ref="F409:G409"/>
    <mergeCell ref="Z404:Z406"/>
    <mergeCell ref="AA404:AA406"/>
    <mergeCell ref="AB404:AB406"/>
    <mergeCell ref="AC404:AC406"/>
    <mergeCell ref="AD404:AD405"/>
    <mergeCell ref="AE404:AE409"/>
    <mergeCell ref="C405:E405"/>
    <mergeCell ref="F405:G405"/>
    <mergeCell ref="B406:B407"/>
    <mergeCell ref="C406:E406"/>
    <mergeCell ref="F406:G406"/>
    <mergeCell ref="K406:K407"/>
    <mergeCell ref="M406:M407"/>
    <mergeCell ref="T406:T407"/>
    <mergeCell ref="AD406:AD407"/>
    <mergeCell ref="C407:E407"/>
    <mergeCell ref="F407:G407"/>
    <mergeCell ref="J407:J409"/>
    <mergeCell ref="N407:O409"/>
    <mergeCell ref="P407:Q409"/>
    <mergeCell ref="R407:S409"/>
    <mergeCell ref="Z407:Z409"/>
    <mergeCell ref="AA407:AA409"/>
    <mergeCell ref="AB407:AB409"/>
    <mergeCell ref="N404:O406"/>
    <mergeCell ref="P404:Q406"/>
    <mergeCell ref="R404:S406"/>
    <mergeCell ref="T404:T405"/>
    <mergeCell ref="U404:U409"/>
    <mergeCell ref="V404:V409"/>
    <mergeCell ref="W404:W409"/>
    <mergeCell ref="X404:X409"/>
    <mergeCell ref="Y404:Y409"/>
    <mergeCell ref="A404:A409"/>
    <mergeCell ref="B404:B405"/>
    <mergeCell ref="C404:E404"/>
    <mergeCell ref="F404:G404"/>
    <mergeCell ref="H404:H409"/>
    <mergeCell ref="J404:J406"/>
    <mergeCell ref="K404:K405"/>
    <mergeCell ref="M404:M405"/>
    <mergeCell ref="AC401:AC403"/>
    <mergeCell ref="B402:B403"/>
    <mergeCell ref="C402:E402"/>
    <mergeCell ref="F402:G402"/>
    <mergeCell ref="K402:K403"/>
    <mergeCell ref="M402:M403"/>
    <mergeCell ref="T402:T403"/>
    <mergeCell ref="AD402:AD403"/>
    <mergeCell ref="C403:E403"/>
    <mergeCell ref="F403:G403"/>
    <mergeCell ref="Z398:Z400"/>
    <mergeCell ref="AA398:AA400"/>
    <mergeCell ref="AB398:AB400"/>
    <mergeCell ref="AC398:AC400"/>
    <mergeCell ref="AD398:AD399"/>
    <mergeCell ref="AE398:AE403"/>
    <mergeCell ref="C399:E399"/>
    <mergeCell ref="F399:G399"/>
    <mergeCell ref="B400:B401"/>
    <mergeCell ref="C400:E400"/>
    <mergeCell ref="F400:G400"/>
    <mergeCell ref="K400:K401"/>
    <mergeCell ref="M400:M401"/>
    <mergeCell ref="T400:T401"/>
    <mergeCell ref="AD400:AD401"/>
    <mergeCell ref="C401:E401"/>
    <mergeCell ref="F401:G401"/>
    <mergeCell ref="J401:J403"/>
    <mergeCell ref="N401:O403"/>
    <mergeCell ref="P401:Q403"/>
    <mergeCell ref="R401:S403"/>
    <mergeCell ref="Z401:Z403"/>
    <mergeCell ref="AA401:AA403"/>
    <mergeCell ref="AB401:AB403"/>
    <mergeCell ref="N398:O400"/>
    <mergeCell ref="P398:Q400"/>
    <mergeCell ref="R398:S400"/>
    <mergeCell ref="T398:T399"/>
    <mergeCell ref="U398:U403"/>
    <mergeCell ref="V398:V403"/>
    <mergeCell ref="W398:W403"/>
    <mergeCell ref="X398:X403"/>
    <mergeCell ref="Y398:Y403"/>
    <mergeCell ref="A398:A403"/>
    <mergeCell ref="B398:B399"/>
    <mergeCell ref="C398:E398"/>
    <mergeCell ref="F398:G398"/>
    <mergeCell ref="H398:H403"/>
    <mergeCell ref="J398:J400"/>
    <mergeCell ref="K398:K399"/>
    <mergeCell ref="M398:M399"/>
    <mergeCell ref="AC407:AC409"/>
    <mergeCell ref="B408:B409"/>
    <mergeCell ref="C408:E408"/>
    <mergeCell ref="F408:G408"/>
    <mergeCell ref="K408:K409"/>
    <mergeCell ref="M396:M397"/>
    <mergeCell ref="T396:T397"/>
    <mergeCell ref="AD396:AD397"/>
    <mergeCell ref="C397:E397"/>
    <mergeCell ref="F397:G397"/>
    <mergeCell ref="Z392:Z394"/>
    <mergeCell ref="AA392:AA394"/>
    <mergeCell ref="AB392:AB394"/>
    <mergeCell ref="AC392:AC394"/>
    <mergeCell ref="AD392:AD393"/>
    <mergeCell ref="AE392:AE397"/>
    <mergeCell ref="C393:E393"/>
    <mergeCell ref="F393:G393"/>
    <mergeCell ref="B394:B395"/>
    <mergeCell ref="C394:E394"/>
    <mergeCell ref="F394:G394"/>
    <mergeCell ref="K394:K395"/>
    <mergeCell ref="M394:M395"/>
    <mergeCell ref="T394:T395"/>
    <mergeCell ref="AD394:AD395"/>
    <mergeCell ref="C395:E395"/>
    <mergeCell ref="F395:G395"/>
    <mergeCell ref="J395:J397"/>
    <mergeCell ref="N395:O397"/>
    <mergeCell ref="P395:Q397"/>
    <mergeCell ref="R395:S397"/>
    <mergeCell ref="Z395:Z397"/>
    <mergeCell ref="AA395:AA397"/>
    <mergeCell ref="AB395:AB397"/>
    <mergeCell ref="N392:O394"/>
    <mergeCell ref="P392:Q394"/>
    <mergeCell ref="R392:S394"/>
    <mergeCell ref="T392:T393"/>
    <mergeCell ref="U392:U397"/>
    <mergeCell ref="V392:V397"/>
    <mergeCell ref="W392:W397"/>
    <mergeCell ref="X392:X397"/>
    <mergeCell ref="Y392:Y397"/>
    <mergeCell ref="A392:A397"/>
    <mergeCell ref="B392:B393"/>
    <mergeCell ref="C392:E392"/>
    <mergeCell ref="F392:G392"/>
    <mergeCell ref="H392:H397"/>
    <mergeCell ref="J392:J394"/>
    <mergeCell ref="K392:K393"/>
    <mergeCell ref="M392:M393"/>
    <mergeCell ref="AC389:AC391"/>
    <mergeCell ref="B390:B391"/>
    <mergeCell ref="C390:E390"/>
    <mergeCell ref="F390:G390"/>
    <mergeCell ref="K390:K391"/>
    <mergeCell ref="M390:M391"/>
    <mergeCell ref="T390:T391"/>
    <mergeCell ref="AD390:AD391"/>
    <mergeCell ref="C391:E391"/>
    <mergeCell ref="F391:G391"/>
    <mergeCell ref="Z386:Z388"/>
    <mergeCell ref="AA386:AA388"/>
    <mergeCell ref="AB386:AB388"/>
    <mergeCell ref="AC386:AC388"/>
    <mergeCell ref="AD386:AD387"/>
    <mergeCell ref="AE386:AE391"/>
    <mergeCell ref="C387:E387"/>
    <mergeCell ref="F387:G387"/>
    <mergeCell ref="B388:B389"/>
    <mergeCell ref="C388:E388"/>
    <mergeCell ref="F388:G388"/>
    <mergeCell ref="K388:K389"/>
    <mergeCell ref="M388:M389"/>
    <mergeCell ref="T388:T389"/>
    <mergeCell ref="AD388:AD389"/>
    <mergeCell ref="C389:E389"/>
    <mergeCell ref="F389:G389"/>
    <mergeCell ref="J389:J391"/>
    <mergeCell ref="N389:O391"/>
    <mergeCell ref="P389:Q391"/>
    <mergeCell ref="R389:S391"/>
    <mergeCell ref="Z389:Z391"/>
    <mergeCell ref="AA389:AA391"/>
    <mergeCell ref="AB389:AB391"/>
    <mergeCell ref="N386:O388"/>
    <mergeCell ref="P386:Q388"/>
    <mergeCell ref="R386:S388"/>
    <mergeCell ref="T386:T387"/>
    <mergeCell ref="U386:U391"/>
    <mergeCell ref="V386:V391"/>
    <mergeCell ref="W386:W391"/>
    <mergeCell ref="X386:X391"/>
    <mergeCell ref="Y386:Y391"/>
    <mergeCell ref="A386:A391"/>
    <mergeCell ref="B386:B387"/>
    <mergeCell ref="C386:E386"/>
    <mergeCell ref="F386:G386"/>
    <mergeCell ref="H386:H391"/>
    <mergeCell ref="J386:J388"/>
    <mergeCell ref="K386:K387"/>
    <mergeCell ref="M386:M387"/>
    <mergeCell ref="AC395:AC397"/>
    <mergeCell ref="B396:B397"/>
    <mergeCell ref="C396:E396"/>
    <mergeCell ref="F396:G396"/>
    <mergeCell ref="K396:K397"/>
    <mergeCell ref="M382:M383"/>
    <mergeCell ref="T382:T383"/>
    <mergeCell ref="AD382:AD383"/>
    <mergeCell ref="C383:E383"/>
    <mergeCell ref="F383:G383"/>
    <mergeCell ref="Z378:Z380"/>
    <mergeCell ref="AA378:AA380"/>
    <mergeCell ref="AB378:AB380"/>
    <mergeCell ref="AC378:AC380"/>
    <mergeCell ref="AD378:AD379"/>
    <mergeCell ref="AE378:AE383"/>
    <mergeCell ref="C379:E379"/>
    <mergeCell ref="F379:G379"/>
    <mergeCell ref="B380:B381"/>
    <mergeCell ref="C380:E380"/>
    <mergeCell ref="F380:G380"/>
    <mergeCell ref="K380:K381"/>
    <mergeCell ref="M380:M381"/>
    <mergeCell ref="T380:T381"/>
    <mergeCell ref="AD380:AD381"/>
    <mergeCell ref="C381:E381"/>
    <mergeCell ref="F381:G381"/>
    <mergeCell ref="J381:J383"/>
    <mergeCell ref="N381:O383"/>
    <mergeCell ref="P381:Q383"/>
    <mergeCell ref="R381:S383"/>
    <mergeCell ref="Z381:Z383"/>
    <mergeCell ref="AA381:AA383"/>
    <mergeCell ref="AB381:AB383"/>
    <mergeCell ref="N378:O380"/>
    <mergeCell ref="P378:Q380"/>
    <mergeCell ref="R378:S380"/>
    <mergeCell ref="T378:T379"/>
    <mergeCell ref="U378:U383"/>
    <mergeCell ref="V378:V383"/>
    <mergeCell ref="W378:W383"/>
    <mergeCell ref="X378:X383"/>
    <mergeCell ref="Y378:Y383"/>
    <mergeCell ref="A378:A383"/>
    <mergeCell ref="B378:B379"/>
    <mergeCell ref="C378:E378"/>
    <mergeCell ref="F378:G378"/>
    <mergeCell ref="H378:H383"/>
    <mergeCell ref="J378:J380"/>
    <mergeCell ref="K378:K379"/>
    <mergeCell ref="M378:M379"/>
    <mergeCell ref="AC375:AC377"/>
    <mergeCell ref="B376:B377"/>
    <mergeCell ref="C376:E376"/>
    <mergeCell ref="F376:G376"/>
    <mergeCell ref="K376:K377"/>
    <mergeCell ref="M376:M377"/>
    <mergeCell ref="T376:T377"/>
    <mergeCell ref="AD376:AD377"/>
    <mergeCell ref="C377:E377"/>
    <mergeCell ref="F377:G377"/>
    <mergeCell ref="Z372:Z374"/>
    <mergeCell ref="AA372:AA374"/>
    <mergeCell ref="AB372:AB374"/>
    <mergeCell ref="AC372:AC374"/>
    <mergeCell ref="AD372:AD373"/>
    <mergeCell ref="AE372:AE377"/>
    <mergeCell ref="C373:E373"/>
    <mergeCell ref="F373:G373"/>
    <mergeCell ref="B374:B375"/>
    <mergeCell ref="C374:E374"/>
    <mergeCell ref="F374:G374"/>
    <mergeCell ref="K374:K375"/>
    <mergeCell ref="M374:M375"/>
    <mergeCell ref="T374:T375"/>
    <mergeCell ref="AD374:AD375"/>
    <mergeCell ref="C375:E375"/>
    <mergeCell ref="F375:G375"/>
    <mergeCell ref="J375:J377"/>
    <mergeCell ref="N375:O377"/>
    <mergeCell ref="P375:Q377"/>
    <mergeCell ref="R375:S377"/>
    <mergeCell ref="Z375:Z377"/>
    <mergeCell ref="AA375:AA377"/>
    <mergeCell ref="AB375:AB377"/>
    <mergeCell ref="N372:O374"/>
    <mergeCell ref="P372:Q374"/>
    <mergeCell ref="R372:S374"/>
    <mergeCell ref="T372:T373"/>
    <mergeCell ref="U372:U377"/>
    <mergeCell ref="V372:V377"/>
    <mergeCell ref="W372:W377"/>
    <mergeCell ref="X372:X377"/>
    <mergeCell ref="Y372:Y377"/>
    <mergeCell ref="A372:A377"/>
    <mergeCell ref="B372:B373"/>
    <mergeCell ref="C372:E372"/>
    <mergeCell ref="F372:G372"/>
    <mergeCell ref="H372:H377"/>
    <mergeCell ref="J372:J374"/>
    <mergeCell ref="K372:K373"/>
    <mergeCell ref="M372:M373"/>
    <mergeCell ref="AC381:AC383"/>
    <mergeCell ref="B382:B383"/>
    <mergeCell ref="C382:E382"/>
    <mergeCell ref="F382:G382"/>
    <mergeCell ref="K382:K383"/>
    <mergeCell ref="M370:M371"/>
    <mergeCell ref="T370:T371"/>
    <mergeCell ref="AD370:AD371"/>
    <mergeCell ref="C371:E371"/>
    <mergeCell ref="F371:G371"/>
    <mergeCell ref="Z366:Z368"/>
    <mergeCell ref="AA366:AA368"/>
    <mergeCell ref="AB366:AB368"/>
    <mergeCell ref="AC366:AC368"/>
    <mergeCell ref="AD366:AD367"/>
    <mergeCell ref="AE366:AE371"/>
    <mergeCell ref="C367:E367"/>
    <mergeCell ref="F367:G367"/>
    <mergeCell ref="B368:B369"/>
    <mergeCell ref="C368:E368"/>
    <mergeCell ref="F368:G368"/>
    <mergeCell ref="K368:K369"/>
    <mergeCell ref="M368:M369"/>
    <mergeCell ref="T368:T369"/>
    <mergeCell ref="AD368:AD369"/>
    <mergeCell ref="C369:E369"/>
    <mergeCell ref="F369:G369"/>
    <mergeCell ref="J369:J371"/>
    <mergeCell ref="N369:O371"/>
    <mergeCell ref="P369:Q371"/>
    <mergeCell ref="R369:S371"/>
    <mergeCell ref="Z369:Z371"/>
    <mergeCell ref="AA369:AA371"/>
    <mergeCell ref="AB369:AB371"/>
    <mergeCell ref="N366:O368"/>
    <mergeCell ref="P366:Q368"/>
    <mergeCell ref="R366:S368"/>
    <mergeCell ref="T366:T367"/>
    <mergeCell ref="U366:U371"/>
    <mergeCell ref="V366:V371"/>
    <mergeCell ref="W366:W371"/>
    <mergeCell ref="X366:X371"/>
    <mergeCell ref="Y366:Y371"/>
    <mergeCell ref="A366:A371"/>
    <mergeCell ref="B366:B367"/>
    <mergeCell ref="C366:E366"/>
    <mergeCell ref="F366:G366"/>
    <mergeCell ref="H366:H371"/>
    <mergeCell ref="J366:J368"/>
    <mergeCell ref="K366:K367"/>
    <mergeCell ref="M366:M367"/>
    <mergeCell ref="AC363:AC365"/>
    <mergeCell ref="B364:B365"/>
    <mergeCell ref="C364:E364"/>
    <mergeCell ref="F364:G364"/>
    <mergeCell ref="K364:K365"/>
    <mergeCell ref="M364:M365"/>
    <mergeCell ref="T364:T365"/>
    <mergeCell ref="AD364:AD365"/>
    <mergeCell ref="C365:E365"/>
    <mergeCell ref="F365:G365"/>
    <mergeCell ref="Z360:Z362"/>
    <mergeCell ref="AA360:AA362"/>
    <mergeCell ref="AB360:AB362"/>
    <mergeCell ref="AC360:AC362"/>
    <mergeCell ref="AD360:AD361"/>
    <mergeCell ref="AE360:AE365"/>
    <mergeCell ref="C361:E361"/>
    <mergeCell ref="F361:G361"/>
    <mergeCell ref="B362:B363"/>
    <mergeCell ref="C362:E362"/>
    <mergeCell ref="F362:G362"/>
    <mergeCell ref="K362:K363"/>
    <mergeCell ref="M362:M363"/>
    <mergeCell ref="T362:T363"/>
    <mergeCell ref="AD362:AD363"/>
    <mergeCell ref="C363:E363"/>
    <mergeCell ref="F363:G363"/>
    <mergeCell ref="J363:J365"/>
    <mergeCell ref="N363:O365"/>
    <mergeCell ref="P363:Q365"/>
    <mergeCell ref="R363:S365"/>
    <mergeCell ref="Z363:Z365"/>
    <mergeCell ref="AA363:AA365"/>
    <mergeCell ref="AB363:AB365"/>
    <mergeCell ref="N360:O362"/>
    <mergeCell ref="P360:Q362"/>
    <mergeCell ref="R360:S362"/>
    <mergeCell ref="T360:T361"/>
    <mergeCell ref="U360:U365"/>
    <mergeCell ref="V360:V365"/>
    <mergeCell ref="W360:W365"/>
    <mergeCell ref="X360:X365"/>
    <mergeCell ref="Y360:Y365"/>
    <mergeCell ref="A360:A365"/>
    <mergeCell ref="B360:B361"/>
    <mergeCell ref="C360:E360"/>
    <mergeCell ref="F360:G360"/>
    <mergeCell ref="H360:H365"/>
    <mergeCell ref="J360:J362"/>
    <mergeCell ref="K360:K361"/>
    <mergeCell ref="M360:M361"/>
    <mergeCell ref="AC369:AC371"/>
    <mergeCell ref="B370:B371"/>
    <mergeCell ref="C370:E370"/>
    <mergeCell ref="F370:G370"/>
    <mergeCell ref="K370:K371"/>
    <mergeCell ref="M358:M359"/>
    <mergeCell ref="T358:T359"/>
    <mergeCell ref="AD358:AD359"/>
    <mergeCell ref="C359:E359"/>
    <mergeCell ref="F359:G359"/>
    <mergeCell ref="Z354:Z356"/>
    <mergeCell ref="AA354:AA356"/>
    <mergeCell ref="AB354:AB356"/>
    <mergeCell ref="AC354:AC356"/>
    <mergeCell ref="AD354:AD355"/>
    <mergeCell ref="AE354:AE359"/>
    <mergeCell ref="C355:E355"/>
    <mergeCell ref="F355:G355"/>
    <mergeCell ref="B356:B357"/>
    <mergeCell ref="C356:E356"/>
    <mergeCell ref="F356:G356"/>
    <mergeCell ref="K356:K357"/>
    <mergeCell ref="M356:M357"/>
    <mergeCell ref="T356:T357"/>
    <mergeCell ref="AD356:AD357"/>
    <mergeCell ref="C357:E357"/>
    <mergeCell ref="F357:G357"/>
    <mergeCell ref="J357:J359"/>
    <mergeCell ref="N357:O359"/>
    <mergeCell ref="P357:Q359"/>
    <mergeCell ref="R357:S359"/>
    <mergeCell ref="Z357:Z359"/>
    <mergeCell ref="AA357:AA359"/>
    <mergeCell ref="AB357:AB359"/>
    <mergeCell ref="N354:O356"/>
    <mergeCell ref="P354:Q356"/>
    <mergeCell ref="R354:S356"/>
    <mergeCell ref="T354:T355"/>
    <mergeCell ref="U354:U359"/>
    <mergeCell ref="V354:V359"/>
    <mergeCell ref="W354:W359"/>
    <mergeCell ref="X354:X359"/>
    <mergeCell ref="Y354:Y359"/>
    <mergeCell ref="I354:I356"/>
    <mergeCell ref="I357:I359"/>
    <mergeCell ref="A354:A359"/>
    <mergeCell ref="B354:B355"/>
    <mergeCell ref="C354:E354"/>
    <mergeCell ref="F354:G354"/>
    <mergeCell ref="H354:H359"/>
    <mergeCell ref="J354:J356"/>
    <mergeCell ref="K354:K355"/>
    <mergeCell ref="M354:M355"/>
    <mergeCell ref="AC349:AC351"/>
    <mergeCell ref="B350:B351"/>
    <mergeCell ref="C350:E350"/>
    <mergeCell ref="F350:G350"/>
    <mergeCell ref="K350:K351"/>
    <mergeCell ref="M350:M351"/>
    <mergeCell ref="T350:T351"/>
    <mergeCell ref="AD350:AD351"/>
    <mergeCell ref="C351:E351"/>
    <mergeCell ref="F351:G351"/>
    <mergeCell ref="Z346:Z348"/>
    <mergeCell ref="AA346:AA348"/>
    <mergeCell ref="AB346:AB348"/>
    <mergeCell ref="AC346:AC348"/>
    <mergeCell ref="AD346:AD347"/>
    <mergeCell ref="AE346:AE351"/>
    <mergeCell ref="C347:E347"/>
    <mergeCell ref="F347:G347"/>
    <mergeCell ref="B348:B349"/>
    <mergeCell ref="C348:E348"/>
    <mergeCell ref="F348:G348"/>
    <mergeCell ref="K348:K349"/>
    <mergeCell ref="M348:M349"/>
    <mergeCell ref="T348:T349"/>
    <mergeCell ref="AD348:AD349"/>
    <mergeCell ref="C349:E349"/>
    <mergeCell ref="F349:G349"/>
    <mergeCell ref="J349:J351"/>
    <mergeCell ref="N349:O351"/>
    <mergeCell ref="P349:Q351"/>
    <mergeCell ref="R349:S351"/>
    <mergeCell ref="Z349:Z351"/>
    <mergeCell ref="AA349:AA351"/>
    <mergeCell ref="AB349:AB351"/>
    <mergeCell ref="N346:O348"/>
    <mergeCell ref="P346:Q348"/>
    <mergeCell ref="R346:S348"/>
    <mergeCell ref="T346:T347"/>
    <mergeCell ref="U346:U351"/>
    <mergeCell ref="V346:V351"/>
    <mergeCell ref="W346:W351"/>
    <mergeCell ref="X346:X351"/>
    <mergeCell ref="Y346:Y351"/>
    <mergeCell ref="A346:A351"/>
    <mergeCell ref="B346:B347"/>
    <mergeCell ref="C346:E346"/>
    <mergeCell ref="F346:G346"/>
    <mergeCell ref="H346:H351"/>
    <mergeCell ref="J346:J348"/>
    <mergeCell ref="K346:K347"/>
    <mergeCell ref="M346:M347"/>
    <mergeCell ref="AC357:AC359"/>
    <mergeCell ref="B358:B359"/>
    <mergeCell ref="C358:E358"/>
    <mergeCell ref="F358:G358"/>
    <mergeCell ref="K358:K359"/>
    <mergeCell ref="M344:M345"/>
    <mergeCell ref="T344:T345"/>
    <mergeCell ref="AD344:AD345"/>
    <mergeCell ref="C345:E345"/>
    <mergeCell ref="F345:G345"/>
    <mergeCell ref="Z340:Z342"/>
    <mergeCell ref="AA340:AA342"/>
    <mergeCell ref="AB340:AB342"/>
    <mergeCell ref="AC340:AC342"/>
    <mergeCell ref="AD340:AD341"/>
    <mergeCell ref="AE340:AE345"/>
    <mergeCell ref="C341:E341"/>
    <mergeCell ref="F341:G341"/>
    <mergeCell ref="B342:B343"/>
    <mergeCell ref="C342:E342"/>
    <mergeCell ref="F342:G342"/>
    <mergeCell ref="K342:K343"/>
    <mergeCell ref="M342:M343"/>
    <mergeCell ref="T342:T343"/>
    <mergeCell ref="AD342:AD343"/>
    <mergeCell ref="C343:E343"/>
    <mergeCell ref="F343:G343"/>
    <mergeCell ref="J343:J345"/>
    <mergeCell ref="N343:O345"/>
    <mergeCell ref="P343:Q345"/>
    <mergeCell ref="R343:S345"/>
    <mergeCell ref="Z343:Z345"/>
    <mergeCell ref="AA343:AA345"/>
    <mergeCell ref="AB343:AB345"/>
    <mergeCell ref="N340:O342"/>
    <mergeCell ref="P340:Q342"/>
    <mergeCell ref="R340:S342"/>
    <mergeCell ref="T340:T341"/>
    <mergeCell ref="U340:U345"/>
    <mergeCell ref="V340:V345"/>
    <mergeCell ref="W340:W345"/>
    <mergeCell ref="X340:X345"/>
    <mergeCell ref="Y340:Y345"/>
    <mergeCell ref="A340:A345"/>
    <mergeCell ref="B340:B341"/>
    <mergeCell ref="C340:E340"/>
    <mergeCell ref="F340:G340"/>
    <mergeCell ref="H340:H345"/>
    <mergeCell ref="J340:J342"/>
    <mergeCell ref="K340:K341"/>
    <mergeCell ref="M340:M341"/>
    <mergeCell ref="AC337:AC339"/>
    <mergeCell ref="B338:B339"/>
    <mergeCell ref="C338:E338"/>
    <mergeCell ref="F338:G338"/>
    <mergeCell ref="K338:K339"/>
    <mergeCell ref="M338:M339"/>
    <mergeCell ref="T338:T339"/>
    <mergeCell ref="AD338:AD339"/>
    <mergeCell ref="C339:E339"/>
    <mergeCell ref="F339:G339"/>
    <mergeCell ref="Z334:Z336"/>
    <mergeCell ref="AA334:AA336"/>
    <mergeCell ref="AB334:AB336"/>
    <mergeCell ref="AC334:AC336"/>
    <mergeCell ref="AD334:AD335"/>
    <mergeCell ref="AE334:AE339"/>
    <mergeCell ref="C335:E335"/>
    <mergeCell ref="F335:G335"/>
    <mergeCell ref="B336:B337"/>
    <mergeCell ref="C336:E336"/>
    <mergeCell ref="F336:G336"/>
    <mergeCell ref="K336:K337"/>
    <mergeCell ref="M336:M337"/>
    <mergeCell ref="T336:T337"/>
    <mergeCell ref="AD336:AD337"/>
    <mergeCell ref="C337:E337"/>
    <mergeCell ref="F337:G337"/>
    <mergeCell ref="J337:J339"/>
    <mergeCell ref="N337:O339"/>
    <mergeCell ref="P337:Q339"/>
    <mergeCell ref="R337:S339"/>
    <mergeCell ref="Z337:Z339"/>
    <mergeCell ref="AA337:AA339"/>
    <mergeCell ref="AB337:AB339"/>
    <mergeCell ref="N334:O336"/>
    <mergeCell ref="P334:Q336"/>
    <mergeCell ref="R334:S336"/>
    <mergeCell ref="T334:T335"/>
    <mergeCell ref="U334:U339"/>
    <mergeCell ref="V334:V339"/>
    <mergeCell ref="W334:W339"/>
    <mergeCell ref="X334:X339"/>
    <mergeCell ref="Y334:Y339"/>
    <mergeCell ref="A334:A339"/>
    <mergeCell ref="B334:B335"/>
    <mergeCell ref="C334:E334"/>
    <mergeCell ref="F334:G334"/>
    <mergeCell ref="H334:H339"/>
    <mergeCell ref="J334:J336"/>
    <mergeCell ref="K334:K335"/>
    <mergeCell ref="M334:M335"/>
    <mergeCell ref="AC343:AC345"/>
    <mergeCell ref="B344:B345"/>
    <mergeCell ref="C344:E344"/>
    <mergeCell ref="F344:G344"/>
    <mergeCell ref="K344:K345"/>
    <mergeCell ref="M332:M333"/>
    <mergeCell ref="T332:T333"/>
    <mergeCell ref="AD332:AD333"/>
    <mergeCell ref="C333:E333"/>
    <mergeCell ref="F333:G333"/>
    <mergeCell ref="Z328:Z330"/>
    <mergeCell ref="AA328:AA330"/>
    <mergeCell ref="AB328:AB330"/>
    <mergeCell ref="AC328:AC330"/>
    <mergeCell ref="AD328:AD329"/>
    <mergeCell ref="AE328:AE333"/>
    <mergeCell ref="C329:E329"/>
    <mergeCell ref="F329:G329"/>
    <mergeCell ref="B330:B331"/>
    <mergeCell ref="C330:E330"/>
    <mergeCell ref="F330:G330"/>
    <mergeCell ref="K330:K331"/>
    <mergeCell ref="M330:M331"/>
    <mergeCell ref="T330:T331"/>
    <mergeCell ref="AD330:AD331"/>
    <mergeCell ref="C331:E331"/>
    <mergeCell ref="F331:G331"/>
    <mergeCell ref="J331:J333"/>
    <mergeCell ref="N331:O333"/>
    <mergeCell ref="P331:Q333"/>
    <mergeCell ref="R331:S333"/>
    <mergeCell ref="Z331:Z333"/>
    <mergeCell ref="AA331:AA333"/>
    <mergeCell ref="AB331:AB333"/>
    <mergeCell ref="N328:O330"/>
    <mergeCell ref="P328:Q330"/>
    <mergeCell ref="R328:S330"/>
    <mergeCell ref="T328:T329"/>
    <mergeCell ref="U328:U333"/>
    <mergeCell ref="V328:V333"/>
    <mergeCell ref="W328:W333"/>
    <mergeCell ref="X328:X333"/>
    <mergeCell ref="Y328:Y333"/>
    <mergeCell ref="A328:A333"/>
    <mergeCell ref="B328:B329"/>
    <mergeCell ref="C328:E328"/>
    <mergeCell ref="F328:G328"/>
    <mergeCell ref="H328:H333"/>
    <mergeCell ref="J328:J330"/>
    <mergeCell ref="K328:K329"/>
    <mergeCell ref="M328:M329"/>
    <mergeCell ref="AC325:AC327"/>
    <mergeCell ref="B326:B327"/>
    <mergeCell ref="C326:E326"/>
    <mergeCell ref="F326:G326"/>
    <mergeCell ref="K326:K327"/>
    <mergeCell ref="M326:M327"/>
    <mergeCell ref="T326:T327"/>
    <mergeCell ref="AD326:AD327"/>
    <mergeCell ref="C327:E327"/>
    <mergeCell ref="F327:G327"/>
    <mergeCell ref="Z322:Z324"/>
    <mergeCell ref="AA322:AA324"/>
    <mergeCell ref="AB322:AB324"/>
    <mergeCell ref="AC322:AC324"/>
    <mergeCell ref="AD322:AD323"/>
    <mergeCell ref="AE322:AE327"/>
    <mergeCell ref="C323:E323"/>
    <mergeCell ref="F323:G323"/>
    <mergeCell ref="B324:B325"/>
    <mergeCell ref="C324:E324"/>
    <mergeCell ref="F324:G324"/>
    <mergeCell ref="K324:K325"/>
    <mergeCell ref="M324:M325"/>
    <mergeCell ref="T324:T325"/>
    <mergeCell ref="AD324:AD325"/>
    <mergeCell ref="C325:E325"/>
    <mergeCell ref="F325:G325"/>
    <mergeCell ref="J325:J327"/>
    <mergeCell ref="N325:O327"/>
    <mergeCell ref="P325:Q327"/>
    <mergeCell ref="R325:S327"/>
    <mergeCell ref="Z325:Z327"/>
    <mergeCell ref="AA325:AA327"/>
    <mergeCell ref="AB325:AB327"/>
    <mergeCell ref="N322:O324"/>
    <mergeCell ref="P322:Q324"/>
    <mergeCell ref="R322:S324"/>
    <mergeCell ref="T322:T323"/>
    <mergeCell ref="U322:U327"/>
    <mergeCell ref="V322:V327"/>
    <mergeCell ref="W322:W327"/>
    <mergeCell ref="X322:X327"/>
    <mergeCell ref="Y322:Y327"/>
    <mergeCell ref="A322:A327"/>
    <mergeCell ref="B322:B323"/>
    <mergeCell ref="C322:E322"/>
    <mergeCell ref="F322:G322"/>
    <mergeCell ref="H322:H327"/>
    <mergeCell ref="J322:J324"/>
    <mergeCell ref="K322:K323"/>
    <mergeCell ref="M322:M323"/>
    <mergeCell ref="AC331:AC333"/>
    <mergeCell ref="B332:B333"/>
    <mergeCell ref="C332:E332"/>
    <mergeCell ref="F332:G332"/>
    <mergeCell ref="K332:K333"/>
    <mergeCell ref="M318:M319"/>
    <mergeCell ref="T318:T319"/>
    <mergeCell ref="AD318:AD319"/>
    <mergeCell ref="C319:E319"/>
    <mergeCell ref="F319:G319"/>
    <mergeCell ref="Z314:Z316"/>
    <mergeCell ref="AA314:AA316"/>
    <mergeCell ref="AB314:AB316"/>
    <mergeCell ref="AC314:AC316"/>
    <mergeCell ref="AD314:AD315"/>
    <mergeCell ref="AE314:AE319"/>
    <mergeCell ref="C315:E315"/>
    <mergeCell ref="F315:G315"/>
    <mergeCell ref="B316:B317"/>
    <mergeCell ref="C316:E316"/>
    <mergeCell ref="F316:G316"/>
    <mergeCell ref="K316:K317"/>
    <mergeCell ref="M316:M317"/>
    <mergeCell ref="T316:T317"/>
    <mergeCell ref="AD316:AD317"/>
    <mergeCell ref="C317:E317"/>
    <mergeCell ref="F317:G317"/>
    <mergeCell ref="J317:J319"/>
    <mergeCell ref="N317:O319"/>
    <mergeCell ref="P317:Q319"/>
    <mergeCell ref="R317:S319"/>
    <mergeCell ref="Z317:Z319"/>
    <mergeCell ref="AA317:AA319"/>
    <mergeCell ref="AB317:AB319"/>
    <mergeCell ref="N314:O316"/>
    <mergeCell ref="P314:Q316"/>
    <mergeCell ref="R314:S316"/>
    <mergeCell ref="T314:T315"/>
    <mergeCell ref="U314:U319"/>
    <mergeCell ref="V314:V319"/>
    <mergeCell ref="W314:W319"/>
    <mergeCell ref="X314:X319"/>
    <mergeCell ref="Y314:Y319"/>
    <mergeCell ref="A314:A319"/>
    <mergeCell ref="B314:B315"/>
    <mergeCell ref="C314:E314"/>
    <mergeCell ref="F314:G314"/>
    <mergeCell ref="H314:H319"/>
    <mergeCell ref="J314:J316"/>
    <mergeCell ref="K314:K315"/>
    <mergeCell ref="M314:M315"/>
    <mergeCell ref="AC311:AC313"/>
    <mergeCell ref="B312:B313"/>
    <mergeCell ref="C312:E312"/>
    <mergeCell ref="F312:G312"/>
    <mergeCell ref="K312:K313"/>
    <mergeCell ref="M312:M313"/>
    <mergeCell ref="T312:T313"/>
    <mergeCell ref="AD312:AD313"/>
    <mergeCell ref="C313:E313"/>
    <mergeCell ref="F313:G313"/>
    <mergeCell ref="Z308:Z310"/>
    <mergeCell ref="AA308:AA310"/>
    <mergeCell ref="AB308:AB310"/>
    <mergeCell ref="AC308:AC310"/>
    <mergeCell ref="AD308:AD309"/>
    <mergeCell ref="AE308:AE313"/>
    <mergeCell ref="C309:E309"/>
    <mergeCell ref="F309:G309"/>
    <mergeCell ref="B310:B311"/>
    <mergeCell ref="C310:E310"/>
    <mergeCell ref="F310:G310"/>
    <mergeCell ref="K310:K311"/>
    <mergeCell ref="M310:M311"/>
    <mergeCell ref="T310:T311"/>
    <mergeCell ref="AD310:AD311"/>
    <mergeCell ref="C311:E311"/>
    <mergeCell ref="F311:G311"/>
    <mergeCell ref="J311:J313"/>
    <mergeCell ref="N311:O313"/>
    <mergeCell ref="P311:Q313"/>
    <mergeCell ref="R311:S313"/>
    <mergeCell ref="Z311:Z313"/>
    <mergeCell ref="AA311:AA313"/>
    <mergeCell ref="AB311:AB313"/>
    <mergeCell ref="N308:O310"/>
    <mergeCell ref="P308:Q310"/>
    <mergeCell ref="R308:S310"/>
    <mergeCell ref="T308:T309"/>
    <mergeCell ref="U308:U313"/>
    <mergeCell ref="V308:V313"/>
    <mergeCell ref="W308:W313"/>
    <mergeCell ref="X308:X313"/>
    <mergeCell ref="Y308:Y313"/>
    <mergeCell ref="A308:A313"/>
    <mergeCell ref="B308:B309"/>
    <mergeCell ref="C308:E308"/>
    <mergeCell ref="F308:G308"/>
    <mergeCell ref="H308:H313"/>
    <mergeCell ref="J308:J310"/>
    <mergeCell ref="K308:K309"/>
    <mergeCell ref="M308:M309"/>
    <mergeCell ref="AC317:AC319"/>
    <mergeCell ref="B318:B319"/>
    <mergeCell ref="C318:E318"/>
    <mergeCell ref="F318:G318"/>
    <mergeCell ref="K318:K319"/>
    <mergeCell ref="M306:M307"/>
    <mergeCell ref="T306:T307"/>
    <mergeCell ref="AD306:AD307"/>
    <mergeCell ref="C307:E307"/>
    <mergeCell ref="F307:G307"/>
    <mergeCell ref="Z302:Z304"/>
    <mergeCell ref="AA302:AA304"/>
    <mergeCell ref="AB302:AB304"/>
    <mergeCell ref="AC302:AC304"/>
    <mergeCell ref="AD302:AD303"/>
    <mergeCell ref="AE302:AE307"/>
    <mergeCell ref="C303:E303"/>
    <mergeCell ref="F303:G303"/>
    <mergeCell ref="B304:B305"/>
    <mergeCell ref="C304:E304"/>
    <mergeCell ref="F304:G304"/>
    <mergeCell ref="K304:K305"/>
    <mergeCell ref="M304:M305"/>
    <mergeCell ref="T304:T305"/>
    <mergeCell ref="AD304:AD305"/>
    <mergeCell ref="C305:E305"/>
    <mergeCell ref="F305:G305"/>
    <mergeCell ref="J305:J307"/>
    <mergeCell ref="N305:O307"/>
    <mergeCell ref="P305:Q307"/>
    <mergeCell ref="R305:S307"/>
    <mergeCell ref="Z305:Z307"/>
    <mergeCell ref="AA305:AA307"/>
    <mergeCell ref="AB305:AB307"/>
    <mergeCell ref="N302:O304"/>
    <mergeCell ref="P302:Q304"/>
    <mergeCell ref="R302:S304"/>
    <mergeCell ref="T302:T303"/>
    <mergeCell ref="U302:U307"/>
    <mergeCell ref="V302:V307"/>
    <mergeCell ref="W302:W307"/>
    <mergeCell ref="X302:X307"/>
    <mergeCell ref="Y302:Y307"/>
    <mergeCell ref="A302:A307"/>
    <mergeCell ref="B302:B303"/>
    <mergeCell ref="C302:E302"/>
    <mergeCell ref="F302:G302"/>
    <mergeCell ref="H302:H307"/>
    <mergeCell ref="J302:J304"/>
    <mergeCell ref="K302:K303"/>
    <mergeCell ref="M302:M303"/>
    <mergeCell ref="AC299:AC301"/>
    <mergeCell ref="B300:B301"/>
    <mergeCell ref="C300:E300"/>
    <mergeCell ref="F300:G300"/>
    <mergeCell ref="K300:K301"/>
    <mergeCell ref="M300:M301"/>
    <mergeCell ref="T300:T301"/>
    <mergeCell ref="AD300:AD301"/>
    <mergeCell ref="C301:E301"/>
    <mergeCell ref="F301:G301"/>
    <mergeCell ref="Z296:Z298"/>
    <mergeCell ref="AA296:AA298"/>
    <mergeCell ref="AB296:AB298"/>
    <mergeCell ref="AC296:AC298"/>
    <mergeCell ref="AD296:AD297"/>
    <mergeCell ref="AE296:AE301"/>
    <mergeCell ref="C297:E297"/>
    <mergeCell ref="F297:G297"/>
    <mergeCell ref="B298:B299"/>
    <mergeCell ref="C298:E298"/>
    <mergeCell ref="F298:G298"/>
    <mergeCell ref="K298:K299"/>
    <mergeCell ref="M298:M299"/>
    <mergeCell ref="T298:T299"/>
    <mergeCell ref="AD298:AD299"/>
    <mergeCell ref="C299:E299"/>
    <mergeCell ref="F299:G299"/>
    <mergeCell ref="J299:J301"/>
    <mergeCell ref="N299:O301"/>
    <mergeCell ref="P299:Q301"/>
    <mergeCell ref="R299:S301"/>
    <mergeCell ref="Z299:Z301"/>
    <mergeCell ref="AA299:AA301"/>
    <mergeCell ref="AB299:AB301"/>
    <mergeCell ref="N296:O298"/>
    <mergeCell ref="P296:Q298"/>
    <mergeCell ref="R296:S298"/>
    <mergeCell ref="T296:T297"/>
    <mergeCell ref="U296:U301"/>
    <mergeCell ref="V296:V301"/>
    <mergeCell ref="W296:W301"/>
    <mergeCell ref="X296:X301"/>
    <mergeCell ref="Y296:Y301"/>
    <mergeCell ref="A296:A301"/>
    <mergeCell ref="B296:B297"/>
    <mergeCell ref="C296:E296"/>
    <mergeCell ref="F296:G296"/>
    <mergeCell ref="H296:H301"/>
    <mergeCell ref="J296:J298"/>
    <mergeCell ref="K296:K297"/>
    <mergeCell ref="M296:M297"/>
    <mergeCell ref="AC305:AC307"/>
    <mergeCell ref="B306:B307"/>
    <mergeCell ref="C306:E306"/>
    <mergeCell ref="F306:G306"/>
    <mergeCell ref="K306:K307"/>
    <mergeCell ref="M294:M295"/>
    <mergeCell ref="T294:T295"/>
    <mergeCell ref="AD294:AD295"/>
    <mergeCell ref="C295:E295"/>
    <mergeCell ref="F295:G295"/>
    <mergeCell ref="Z290:Z292"/>
    <mergeCell ref="AA290:AA292"/>
    <mergeCell ref="AB290:AB292"/>
    <mergeCell ref="AC290:AC292"/>
    <mergeCell ref="AD290:AD291"/>
    <mergeCell ref="AE290:AE295"/>
    <mergeCell ref="C291:E291"/>
    <mergeCell ref="F291:G291"/>
    <mergeCell ref="B292:B293"/>
    <mergeCell ref="C292:E292"/>
    <mergeCell ref="F292:G292"/>
    <mergeCell ref="K292:K293"/>
    <mergeCell ref="M292:M293"/>
    <mergeCell ref="T292:T293"/>
    <mergeCell ref="AD292:AD293"/>
    <mergeCell ref="C293:E293"/>
    <mergeCell ref="F293:G293"/>
    <mergeCell ref="J293:J295"/>
    <mergeCell ref="N293:O295"/>
    <mergeCell ref="P293:Q295"/>
    <mergeCell ref="R293:S295"/>
    <mergeCell ref="Z293:Z295"/>
    <mergeCell ref="AA293:AA295"/>
    <mergeCell ref="AB293:AB295"/>
    <mergeCell ref="N290:O292"/>
    <mergeCell ref="P290:Q292"/>
    <mergeCell ref="R290:S292"/>
    <mergeCell ref="T290:T291"/>
    <mergeCell ref="U290:U295"/>
    <mergeCell ref="V290:V295"/>
    <mergeCell ref="W290:W295"/>
    <mergeCell ref="X290:X295"/>
    <mergeCell ref="Y290:Y295"/>
    <mergeCell ref="A290:A295"/>
    <mergeCell ref="B290:B291"/>
    <mergeCell ref="C290:E290"/>
    <mergeCell ref="F290:G290"/>
    <mergeCell ref="H290:H295"/>
    <mergeCell ref="J290:J292"/>
    <mergeCell ref="K290:K291"/>
    <mergeCell ref="M290:M291"/>
    <mergeCell ref="AC285:AC287"/>
    <mergeCell ref="B286:B287"/>
    <mergeCell ref="C286:E286"/>
    <mergeCell ref="F286:G286"/>
    <mergeCell ref="K286:K287"/>
    <mergeCell ref="M286:M287"/>
    <mergeCell ref="T286:T287"/>
    <mergeCell ref="AD286:AD287"/>
    <mergeCell ref="C287:E287"/>
    <mergeCell ref="F287:G287"/>
    <mergeCell ref="Z282:Z284"/>
    <mergeCell ref="AA282:AA284"/>
    <mergeCell ref="AB282:AB284"/>
    <mergeCell ref="AC282:AC284"/>
    <mergeCell ref="AD282:AD283"/>
    <mergeCell ref="AE282:AE287"/>
    <mergeCell ref="C283:E283"/>
    <mergeCell ref="F283:G283"/>
    <mergeCell ref="B284:B285"/>
    <mergeCell ref="C284:E284"/>
    <mergeCell ref="F284:G284"/>
    <mergeCell ref="K284:K285"/>
    <mergeCell ref="M284:M285"/>
    <mergeCell ref="T284:T285"/>
    <mergeCell ref="AD284:AD285"/>
    <mergeCell ref="C285:E285"/>
    <mergeCell ref="F285:G285"/>
    <mergeCell ref="J285:J287"/>
    <mergeCell ref="N285:O287"/>
    <mergeCell ref="P285:Q287"/>
    <mergeCell ref="R285:S287"/>
    <mergeCell ref="Z285:Z287"/>
    <mergeCell ref="AA285:AA287"/>
    <mergeCell ref="AB285:AB287"/>
    <mergeCell ref="N282:O284"/>
    <mergeCell ref="P282:Q284"/>
    <mergeCell ref="R282:S284"/>
    <mergeCell ref="T282:T283"/>
    <mergeCell ref="U282:U287"/>
    <mergeCell ref="V282:V287"/>
    <mergeCell ref="W282:W287"/>
    <mergeCell ref="X282:X287"/>
    <mergeCell ref="Y282:Y287"/>
    <mergeCell ref="A282:A287"/>
    <mergeCell ref="B282:B283"/>
    <mergeCell ref="C282:E282"/>
    <mergeCell ref="F282:G282"/>
    <mergeCell ref="H282:H287"/>
    <mergeCell ref="J282:J284"/>
    <mergeCell ref="K282:K283"/>
    <mergeCell ref="M282:M283"/>
    <mergeCell ref="AC293:AC295"/>
    <mergeCell ref="B294:B295"/>
    <mergeCell ref="C294:E294"/>
    <mergeCell ref="F294:G294"/>
    <mergeCell ref="K294:K295"/>
    <mergeCell ref="M280:M281"/>
    <mergeCell ref="T280:T281"/>
    <mergeCell ref="AD280:AD281"/>
    <mergeCell ref="C281:E281"/>
    <mergeCell ref="F281:G281"/>
    <mergeCell ref="Z276:Z278"/>
    <mergeCell ref="AA276:AA278"/>
    <mergeCell ref="AB276:AB278"/>
    <mergeCell ref="AC276:AC278"/>
    <mergeCell ref="AD276:AD277"/>
    <mergeCell ref="AE276:AE281"/>
    <mergeCell ref="C277:E277"/>
    <mergeCell ref="F277:G277"/>
    <mergeCell ref="B278:B279"/>
    <mergeCell ref="C278:E278"/>
    <mergeCell ref="F278:G278"/>
    <mergeCell ref="K278:K279"/>
    <mergeCell ref="M278:M279"/>
    <mergeCell ref="T278:T279"/>
    <mergeCell ref="AD278:AD279"/>
    <mergeCell ref="C279:E279"/>
    <mergeCell ref="F279:G279"/>
    <mergeCell ref="J279:J281"/>
    <mergeCell ref="N279:O281"/>
    <mergeCell ref="P279:Q281"/>
    <mergeCell ref="R279:S281"/>
    <mergeCell ref="Z279:Z281"/>
    <mergeCell ref="AA279:AA281"/>
    <mergeCell ref="AB279:AB281"/>
    <mergeCell ref="N276:O278"/>
    <mergeCell ref="P276:Q278"/>
    <mergeCell ref="R276:S278"/>
    <mergeCell ref="T276:T277"/>
    <mergeCell ref="U276:U281"/>
    <mergeCell ref="V276:V281"/>
    <mergeCell ref="W276:W281"/>
    <mergeCell ref="X276:X281"/>
    <mergeCell ref="Y276:Y281"/>
    <mergeCell ref="A276:A281"/>
    <mergeCell ref="B276:B277"/>
    <mergeCell ref="C276:E276"/>
    <mergeCell ref="F276:G276"/>
    <mergeCell ref="H276:H281"/>
    <mergeCell ref="J276:J278"/>
    <mergeCell ref="K276:K277"/>
    <mergeCell ref="M276:M277"/>
    <mergeCell ref="AC273:AC275"/>
    <mergeCell ref="B274:B275"/>
    <mergeCell ref="C274:E274"/>
    <mergeCell ref="F274:G274"/>
    <mergeCell ref="K274:K275"/>
    <mergeCell ref="M274:M275"/>
    <mergeCell ref="T274:T275"/>
    <mergeCell ref="AD274:AD275"/>
    <mergeCell ref="C275:E275"/>
    <mergeCell ref="F275:G275"/>
    <mergeCell ref="Z270:Z272"/>
    <mergeCell ref="AA270:AA272"/>
    <mergeCell ref="AB270:AB272"/>
    <mergeCell ref="AC270:AC272"/>
    <mergeCell ref="AD270:AD271"/>
    <mergeCell ref="AE270:AE275"/>
    <mergeCell ref="C271:E271"/>
    <mergeCell ref="F271:G271"/>
    <mergeCell ref="B272:B273"/>
    <mergeCell ref="C272:E272"/>
    <mergeCell ref="F272:G272"/>
    <mergeCell ref="K272:K273"/>
    <mergeCell ref="M272:M273"/>
    <mergeCell ref="T272:T273"/>
    <mergeCell ref="AD272:AD273"/>
    <mergeCell ref="C273:E273"/>
    <mergeCell ref="F273:G273"/>
    <mergeCell ref="J273:J275"/>
    <mergeCell ref="N273:O275"/>
    <mergeCell ref="P273:Q275"/>
    <mergeCell ref="R273:S275"/>
    <mergeCell ref="Z273:Z275"/>
    <mergeCell ref="AA273:AA275"/>
    <mergeCell ref="AB273:AB275"/>
    <mergeCell ref="N270:O272"/>
    <mergeCell ref="P270:Q272"/>
    <mergeCell ref="R270:S272"/>
    <mergeCell ref="T270:T271"/>
    <mergeCell ref="U270:U275"/>
    <mergeCell ref="V270:V275"/>
    <mergeCell ref="W270:W275"/>
    <mergeCell ref="X270:X275"/>
    <mergeCell ref="Y270:Y275"/>
    <mergeCell ref="A270:A275"/>
    <mergeCell ref="B270:B271"/>
    <mergeCell ref="C270:E270"/>
    <mergeCell ref="F270:G270"/>
    <mergeCell ref="H270:H275"/>
    <mergeCell ref="J270:J272"/>
    <mergeCell ref="K270:K271"/>
    <mergeCell ref="M270:M271"/>
    <mergeCell ref="AC279:AC281"/>
    <mergeCell ref="B280:B281"/>
    <mergeCell ref="C280:E280"/>
    <mergeCell ref="F280:G280"/>
    <mergeCell ref="K280:K281"/>
    <mergeCell ref="M268:M269"/>
    <mergeCell ref="T268:T269"/>
    <mergeCell ref="AD268:AD269"/>
    <mergeCell ref="C269:E269"/>
    <mergeCell ref="F269:G269"/>
    <mergeCell ref="Z264:Z266"/>
    <mergeCell ref="AA264:AA266"/>
    <mergeCell ref="AB264:AB266"/>
    <mergeCell ref="AC264:AC266"/>
    <mergeCell ref="AD264:AD265"/>
    <mergeCell ref="AE264:AE269"/>
    <mergeCell ref="C265:E265"/>
    <mergeCell ref="F265:G265"/>
    <mergeCell ref="B266:B267"/>
    <mergeCell ref="C266:E266"/>
    <mergeCell ref="F266:G266"/>
    <mergeCell ref="K266:K267"/>
    <mergeCell ref="M266:M267"/>
    <mergeCell ref="T266:T267"/>
    <mergeCell ref="AD266:AD267"/>
    <mergeCell ref="C267:E267"/>
    <mergeCell ref="F267:G267"/>
    <mergeCell ref="J267:J269"/>
    <mergeCell ref="N267:O269"/>
    <mergeCell ref="P267:Q269"/>
    <mergeCell ref="R267:S269"/>
    <mergeCell ref="Z267:Z269"/>
    <mergeCell ref="AA267:AA269"/>
    <mergeCell ref="AB267:AB269"/>
    <mergeCell ref="N264:O266"/>
    <mergeCell ref="P264:Q266"/>
    <mergeCell ref="R264:S266"/>
    <mergeCell ref="T264:T265"/>
    <mergeCell ref="U264:U269"/>
    <mergeCell ref="V264:V269"/>
    <mergeCell ref="W264:W269"/>
    <mergeCell ref="X264:X269"/>
    <mergeCell ref="Y264:Y269"/>
    <mergeCell ref="A264:A269"/>
    <mergeCell ref="B264:B265"/>
    <mergeCell ref="C264:E264"/>
    <mergeCell ref="F264:G264"/>
    <mergeCell ref="H264:H269"/>
    <mergeCell ref="J264:J266"/>
    <mergeCell ref="K264:K265"/>
    <mergeCell ref="M264:M265"/>
    <mergeCell ref="AC261:AC263"/>
    <mergeCell ref="B262:B263"/>
    <mergeCell ref="C262:E262"/>
    <mergeCell ref="F262:G262"/>
    <mergeCell ref="K262:K263"/>
    <mergeCell ref="M262:M263"/>
    <mergeCell ref="T262:T263"/>
    <mergeCell ref="AD262:AD263"/>
    <mergeCell ref="C263:E263"/>
    <mergeCell ref="F263:G263"/>
    <mergeCell ref="Z258:Z260"/>
    <mergeCell ref="AA258:AA260"/>
    <mergeCell ref="AB258:AB260"/>
    <mergeCell ref="AC258:AC260"/>
    <mergeCell ref="AD258:AD259"/>
    <mergeCell ref="AE258:AE263"/>
    <mergeCell ref="C259:E259"/>
    <mergeCell ref="F259:G259"/>
    <mergeCell ref="B260:B261"/>
    <mergeCell ref="C260:E260"/>
    <mergeCell ref="F260:G260"/>
    <mergeCell ref="K260:K261"/>
    <mergeCell ref="M260:M261"/>
    <mergeCell ref="T260:T261"/>
    <mergeCell ref="AD260:AD261"/>
    <mergeCell ref="C261:E261"/>
    <mergeCell ref="F261:G261"/>
    <mergeCell ref="J261:J263"/>
    <mergeCell ref="N261:O263"/>
    <mergeCell ref="P261:Q263"/>
    <mergeCell ref="R261:S263"/>
    <mergeCell ref="Z261:Z263"/>
    <mergeCell ref="AA261:AA263"/>
    <mergeCell ref="AB261:AB263"/>
    <mergeCell ref="N258:O260"/>
    <mergeCell ref="P258:Q260"/>
    <mergeCell ref="R258:S260"/>
    <mergeCell ref="T258:T259"/>
    <mergeCell ref="U258:U263"/>
    <mergeCell ref="V258:V263"/>
    <mergeCell ref="W258:W263"/>
    <mergeCell ref="X258:X263"/>
    <mergeCell ref="Y258:Y263"/>
    <mergeCell ref="A258:A263"/>
    <mergeCell ref="B258:B259"/>
    <mergeCell ref="C258:E258"/>
    <mergeCell ref="F258:G258"/>
    <mergeCell ref="H258:H263"/>
    <mergeCell ref="J258:J260"/>
    <mergeCell ref="K258:K259"/>
    <mergeCell ref="M258:M259"/>
    <mergeCell ref="AC267:AC269"/>
    <mergeCell ref="B268:B269"/>
    <mergeCell ref="C268:E268"/>
    <mergeCell ref="F268:G268"/>
    <mergeCell ref="K268:K269"/>
    <mergeCell ref="M254:M255"/>
    <mergeCell ref="T254:T255"/>
    <mergeCell ref="AD254:AD255"/>
    <mergeCell ref="C255:E255"/>
    <mergeCell ref="F255:G255"/>
    <mergeCell ref="Z250:Z252"/>
    <mergeCell ref="AA250:AA252"/>
    <mergeCell ref="AB250:AB252"/>
    <mergeCell ref="AC250:AC252"/>
    <mergeCell ref="AD250:AD251"/>
    <mergeCell ref="AE250:AE255"/>
    <mergeCell ref="C251:E251"/>
    <mergeCell ref="F251:G251"/>
    <mergeCell ref="B252:B253"/>
    <mergeCell ref="C252:E252"/>
    <mergeCell ref="F252:G252"/>
    <mergeCell ref="K252:K253"/>
    <mergeCell ref="M252:M253"/>
    <mergeCell ref="T252:T253"/>
    <mergeCell ref="AD252:AD253"/>
    <mergeCell ref="C253:E253"/>
    <mergeCell ref="F253:G253"/>
    <mergeCell ref="J253:J255"/>
    <mergeCell ref="N253:O255"/>
    <mergeCell ref="P253:Q255"/>
    <mergeCell ref="R253:S255"/>
    <mergeCell ref="Z253:Z255"/>
    <mergeCell ref="AA253:AA255"/>
    <mergeCell ref="AB253:AB255"/>
    <mergeCell ref="N250:O252"/>
    <mergeCell ref="P250:Q252"/>
    <mergeCell ref="R250:S252"/>
    <mergeCell ref="T250:T251"/>
    <mergeCell ref="U250:U255"/>
    <mergeCell ref="V250:V255"/>
    <mergeCell ref="W250:W255"/>
    <mergeCell ref="X250:X255"/>
    <mergeCell ref="Y250:Y255"/>
    <mergeCell ref="A250:A255"/>
    <mergeCell ref="B250:B251"/>
    <mergeCell ref="C250:E250"/>
    <mergeCell ref="F250:G250"/>
    <mergeCell ref="H250:H255"/>
    <mergeCell ref="J250:J252"/>
    <mergeCell ref="K250:K251"/>
    <mergeCell ref="M250:M251"/>
    <mergeCell ref="AC247:AC249"/>
    <mergeCell ref="B248:B249"/>
    <mergeCell ref="C248:E248"/>
    <mergeCell ref="F248:G248"/>
    <mergeCell ref="K248:K249"/>
    <mergeCell ref="M248:M249"/>
    <mergeCell ref="T248:T249"/>
    <mergeCell ref="AD248:AD249"/>
    <mergeCell ref="C249:E249"/>
    <mergeCell ref="F249:G249"/>
    <mergeCell ref="Z244:Z246"/>
    <mergeCell ref="AA244:AA246"/>
    <mergeCell ref="AB244:AB246"/>
    <mergeCell ref="AC244:AC246"/>
    <mergeCell ref="AD244:AD245"/>
    <mergeCell ref="AE244:AE249"/>
    <mergeCell ref="C245:E245"/>
    <mergeCell ref="F245:G245"/>
    <mergeCell ref="B246:B247"/>
    <mergeCell ref="C246:E246"/>
    <mergeCell ref="F246:G246"/>
    <mergeCell ref="K246:K247"/>
    <mergeCell ref="M246:M247"/>
    <mergeCell ref="T246:T247"/>
    <mergeCell ref="AD246:AD247"/>
    <mergeCell ref="C247:E247"/>
    <mergeCell ref="F247:G247"/>
    <mergeCell ref="J247:J249"/>
    <mergeCell ref="N247:O249"/>
    <mergeCell ref="P247:Q249"/>
    <mergeCell ref="R247:S249"/>
    <mergeCell ref="Z247:Z249"/>
    <mergeCell ref="AA247:AA249"/>
    <mergeCell ref="AB247:AB249"/>
    <mergeCell ref="N244:O246"/>
    <mergeCell ref="P244:Q246"/>
    <mergeCell ref="R244:S246"/>
    <mergeCell ref="T244:T245"/>
    <mergeCell ref="U244:U249"/>
    <mergeCell ref="V244:V249"/>
    <mergeCell ref="W244:W249"/>
    <mergeCell ref="X244:X249"/>
    <mergeCell ref="Y244:Y249"/>
    <mergeCell ref="A244:A249"/>
    <mergeCell ref="B244:B245"/>
    <mergeCell ref="C244:E244"/>
    <mergeCell ref="F244:G244"/>
    <mergeCell ref="H244:H249"/>
    <mergeCell ref="J244:J246"/>
    <mergeCell ref="K244:K245"/>
    <mergeCell ref="M244:M245"/>
    <mergeCell ref="AC253:AC255"/>
    <mergeCell ref="B254:B255"/>
    <mergeCell ref="C254:E254"/>
    <mergeCell ref="F254:G254"/>
    <mergeCell ref="K254:K255"/>
    <mergeCell ref="M242:M243"/>
    <mergeCell ref="T242:T243"/>
    <mergeCell ref="AD242:AD243"/>
    <mergeCell ref="C243:E243"/>
    <mergeCell ref="F243:G243"/>
    <mergeCell ref="Z238:Z240"/>
    <mergeCell ref="AA238:AA240"/>
    <mergeCell ref="AB238:AB240"/>
    <mergeCell ref="AC238:AC240"/>
    <mergeCell ref="AD238:AD239"/>
    <mergeCell ref="AE238:AE243"/>
    <mergeCell ref="C239:E239"/>
    <mergeCell ref="F239:G239"/>
    <mergeCell ref="B240:B241"/>
    <mergeCell ref="C240:E240"/>
    <mergeCell ref="F240:G240"/>
    <mergeCell ref="K240:K241"/>
    <mergeCell ref="M240:M241"/>
    <mergeCell ref="T240:T241"/>
    <mergeCell ref="AD240:AD241"/>
    <mergeCell ref="C241:E241"/>
    <mergeCell ref="F241:G241"/>
    <mergeCell ref="J241:J243"/>
    <mergeCell ref="N241:O243"/>
    <mergeCell ref="P241:Q243"/>
    <mergeCell ref="R241:S243"/>
    <mergeCell ref="Z241:Z243"/>
    <mergeCell ref="AA241:AA243"/>
    <mergeCell ref="AB241:AB243"/>
    <mergeCell ref="N238:O240"/>
    <mergeCell ref="P238:Q240"/>
    <mergeCell ref="R238:S240"/>
    <mergeCell ref="T238:T239"/>
    <mergeCell ref="U238:U243"/>
    <mergeCell ref="V238:V243"/>
    <mergeCell ref="W238:W243"/>
    <mergeCell ref="X238:X243"/>
    <mergeCell ref="Y238:Y243"/>
    <mergeCell ref="A238:A243"/>
    <mergeCell ref="B238:B239"/>
    <mergeCell ref="C238:E238"/>
    <mergeCell ref="F238:G238"/>
    <mergeCell ref="H238:H243"/>
    <mergeCell ref="J238:J240"/>
    <mergeCell ref="K238:K239"/>
    <mergeCell ref="M238:M239"/>
    <mergeCell ref="AC235:AC237"/>
    <mergeCell ref="B236:B237"/>
    <mergeCell ref="C236:E236"/>
    <mergeCell ref="F236:G236"/>
    <mergeCell ref="K236:K237"/>
    <mergeCell ref="M236:M237"/>
    <mergeCell ref="T236:T237"/>
    <mergeCell ref="AD236:AD237"/>
    <mergeCell ref="C237:E237"/>
    <mergeCell ref="F237:G237"/>
    <mergeCell ref="Z232:Z234"/>
    <mergeCell ref="AA232:AA234"/>
    <mergeCell ref="AB232:AB234"/>
    <mergeCell ref="AC232:AC234"/>
    <mergeCell ref="AD232:AD233"/>
    <mergeCell ref="AE232:AE237"/>
    <mergeCell ref="C233:E233"/>
    <mergeCell ref="F233:G233"/>
    <mergeCell ref="B234:B235"/>
    <mergeCell ref="C234:E234"/>
    <mergeCell ref="F234:G234"/>
    <mergeCell ref="K234:K235"/>
    <mergeCell ref="M234:M235"/>
    <mergeCell ref="T234:T235"/>
    <mergeCell ref="AD234:AD235"/>
    <mergeCell ref="C235:E235"/>
    <mergeCell ref="F235:G235"/>
    <mergeCell ref="J235:J237"/>
    <mergeCell ref="N235:O237"/>
    <mergeCell ref="P235:Q237"/>
    <mergeCell ref="R235:S237"/>
    <mergeCell ref="Z235:Z237"/>
    <mergeCell ref="AA235:AA237"/>
    <mergeCell ref="AB235:AB237"/>
    <mergeCell ref="N232:O234"/>
    <mergeCell ref="P232:Q234"/>
    <mergeCell ref="R232:S234"/>
    <mergeCell ref="T232:T233"/>
    <mergeCell ref="U232:U237"/>
    <mergeCell ref="V232:V237"/>
    <mergeCell ref="W232:W237"/>
    <mergeCell ref="X232:X237"/>
    <mergeCell ref="Y232:Y237"/>
    <mergeCell ref="A232:A237"/>
    <mergeCell ref="B232:B233"/>
    <mergeCell ref="C232:E232"/>
    <mergeCell ref="F232:G232"/>
    <mergeCell ref="H232:H237"/>
    <mergeCell ref="J232:J234"/>
    <mergeCell ref="K232:K233"/>
    <mergeCell ref="M232:M233"/>
    <mergeCell ref="AC241:AC243"/>
    <mergeCell ref="B242:B243"/>
    <mergeCell ref="C242:E242"/>
    <mergeCell ref="F242:G242"/>
    <mergeCell ref="K242:K243"/>
    <mergeCell ref="M230:M231"/>
    <mergeCell ref="T230:T231"/>
    <mergeCell ref="AD230:AD231"/>
    <mergeCell ref="C231:E231"/>
    <mergeCell ref="F231:G231"/>
    <mergeCell ref="Z226:Z228"/>
    <mergeCell ref="AA226:AA228"/>
    <mergeCell ref="AB226:AB228"/>
    <mergeCell ref="AC226:AC228"/>
    <mergeCell ref="AD226:AD227"/>
    <mergeCell ref="AE226:AE231"/>
    <mergeCell ref="C227:E227"/>
    <mergeCell ref="F227:G227"/>
    <mergeCell ref="B228:B229"/>
    <mergeCell ref="C228:E228"/>
    <mergeCell ref="F228:G228"/>
    <mergeCell ref="K228:K229"/>
    <mergeCell ref="M228:M229"/>
    <mergeCell ref="T228:T229"/>
    <mergeCell ref="AD228:AD229"/>
    <mergeCell ref="C229:E229"/>
    <mergeCell ref="F229:G229"/>
    <mergeCell ref="J229:J231"/>
    <mergeCell ref="N229:O231"/>
    <mergeCell ref="P229:Q231"/>
    <mergeCell ref="R229:S231"/>
    <mergeCell ref="Z229:Z231"/>
    <mergeCell ref="AA229:AA231"/>
    <mergeCell ref="AB229:AB231"/>
    <mergeCell ref="N226:O228"/>
    <mergeCell ref="P226:Q228"/>
    <mergeCell ref="R226:S228"/>
    <mergeCell ref="T226:T227"/>
    <mergeCell ref="U226:U231"/>
    <mergeCell ref="V226:V231"/>
    <mergeCell ref="W226:W231"/>
    <mergeCell ref="X226:X231"/>
    <mergeCell ref="Y226:Y231"/>
    <mergeCell ref="A226:A231"/>
    <mergeCell ref="B226:B227"/>
    <mergeCell ref="C226:E226"/>
    <mergeCell ref="F226:G226"/>
    <mergeCell ref="H226:H231"/>
    <mergeCell ref="J226:J228"/>
    <mergeCell ref="K226:K227"/>
    <mergeCell ref="M226:M227"/>
    <mergeCell ref="AC221:AC223"/>
    <mergeCell ref="B222:B223"/>
    <mergeCell ref="C222:E222"/>
    <mergeCell ref="F222:G222"/>
    <mergeCell ref="K222:K223"/>
    <mergeCell ref="M222:M223"/>
    <mergeCell ref="T222:T223"/>
    <mergeCell ref="AD222:AD223"/>
    <mergeCell ref="C223:E223"/>
    <mergeCell ref="F223:G223"/>
    <mergeCell ref="Z218:Z220"/>
    <mergeCell ref="AA218:AA220"/>
    <mergeCell ref="AB218:AB220"/>
    <mergeCell ref="AC218:AC220"/>
    <mergeCell ref="AD218:AD219"/>
    <mergeCell ref="AE218:AE223"/>
    <mergeCell ref="C219:E219"/>
    <mergeCell ref="F219:G219"/>
    <mergeCell ref="B220:B221"/>
    <mergeCell ref="C220:E220"/>
    <mergeCell ref="F220:G220"/>
    <mergeCell ref="K220:K221"/>
    <mergeCell ref="M220:M221"/>
    <mergeCell ref="T220:T221"/>
    <mergeCell ref="AD220:AD221"/>
    <mergeCell ref="C221:E221"/>
    <mergeCell ref="F221:G221"/>
    <mergeCell ref="J221:J223"/>
    <mergeCell ref="N221:O223"/>
    <mergeCell ref="P221:Q223"/>
    <mergeCell ref="R221:S223"/>
    <mergeCell ref="Z221:Z223"/>
    <mergeCell ref="AA221:AA223"/>
    <mergeCell ref="AB221:AB223"/>
    <mergeCell ref="N218:O220"/>
    <mergeCell ref="P218:Q220"/>
    <mergeCell ref="R218:S220"/>
    <mergeCell ref="T218:T219"/>
    <mergeCell ref="U218:U223"/>
    <mergeCell ref="V218:V223"/>
    <mergeCell ref="W218:W223"/>
    <mergeCell ref="X218:X223"/>
    <mergeCell ref="Y218:Y223"/>
    <mergeCell ref="A218:A223"/>
    <mergeCell ref="B218:B219"/>
    <mergeCell ref="C218:E218"/>
    <mergeCell ref="F218:G218"/>
    <mergeCell ref="H218:H223"/>
    <mergeCell ref="J218:J220"/>
    <mergeCell ref="K218:K219"/>
    <mergeCell ref="M218:M219"/>
    <mergeCell ref="AC229:AC231"/>
    <mergeCell ref="B230:B231"/>
    <mergeCell ref="C230:E230"/>
    <mergeCell ref="F230:G230"/>
    <mergeCell ref="K230:K231"/>
    <mergeCell ref="M216:M217"/>
    <mergeCell ref="T216:T217"/>
    <mergeCell ref="AD216:AD217"/>
    <mergeCell ref="C217:E217"/>
    <mergeCell ref="F217:G217"/>
    <mergeCell ref="Z212:Z214"/>
    <mergeCell ref="AA212:AA214"/>
    <mergeCell ref="AB212:AB214"/>
    <mergeCell ref="AC212:AC214"/>
    <mergeCell ref="AD212:AD213"/>
    <mergeCell ref="AE212:AE217"/>
    <mergeCell ref="C213:E213"/>
    <mergeCell ref="F213:G213"/>
    <mergeCell ref="B214:B215"/>
    <mergeCell ref="C214:E214"/>
    <mergeCell ref="F214:G214"/>
    <mergeCell ref="K214:K215"/>
    <mergeCell ref="M214:M215"/>
    <mergeCell ref="T214:T215"/>
    <mergeCell ref="AD214:AD215"/>
    <mergeCell ref="C215:E215"/>
    <mergeCell ref="F215:G215"/>
    <mergeCell ref="J215:J217"/>
    <mergeCell ref="N215:O217"/>
    <mergeCell ref="P215:Q217"/>
    <mergeCell ref="R215:S217"/>
    <mergeCell ref="Z215:Z217"/>
    <mergeCell ref="AA215:AA217"/>
    <mergeCell ref="AB215:AB217"/>
    <mergeCell ref="N212:O214"/>
    <mergeCell ref="P212:Q214"/>
    <mergeCell ref="R212:S214"/>
    <mergeCell ref="T212:T213"/>
    <mergeCell ref="U212:U217"/>
    <mergeCell ref="V212:V217"/>
    <mergeCell ref="W212:W217"/>
    <mergeCell ref="X212:X217"/>
    <mergeCell ref="Y212:Y217"/>
    <mergeCell ref="A212:A217"/>
    <mergeCell ref="B212:B213"/>
    <mergeCell ref="C212:E212"/>
    <mergeCell ref="F212:G212"/>
    <mergeCell ref="H212:H217"/>
    <mergeCell ref="J212:J214"/>
    <mergeCell ref="K212:K213"/>
    <mergeCell ref="M212:M213"/>
    <mergeCell ref="AC209:AC211"/>
    <mergeCell ref="B210:B211"/>
    <mergeCell ref="C210:E210"/>
    <mergeCell ref="F210:G210"/>
    <mergeCell ref="K210:K211"/>
    <mergeCell ref="M210:M211"/>
    <mergeCell ref="T210:T211"/>
    <mergeCell ref="AD210:AD211"/>
    <mergeCell ref="C211:E211"/>
    <mergeCell ref="F211:G211"/>
    <mergeCell ref="Z206:Z208"/>
    <mergeCell ref="AA206:AA208"/>
    <mergeCell ref="AB206:AB208"/>
    <mergeCell ref="AC206:AC208"/>
    <mergeCell ref="AD206:AD207"/>
    <mergeCell ref="AE206:AE211"/>
    <mergeCell ref="C207:E207"/>
    <mergeCell ref="F207:G207"/>
    <mergeCell ref="B208:B209"/>
    <mergeCell ref="C208:E208"/>
    <mergeCell ref="F208:G208"/>
    <mergeCell ref="K208:K209"/>
    <mergeCell ref="M208:M209"/>
    <mergeCell ref="T208:T209"/>
    <mergeCell ref="AD208:AD209"/>
    <mergeCell ref="C209:E209"/>
    <mergeCell ref="F209:G209"/>
    <mergeCell ref="J209:J211"/>
    <mergeCell ref="N209:O211"/>
    <mergeCell ref="P209:Q211"/>
    <mergeCell ref="R209:S211"/>
    <mergeCell ref="Z209:Z211"/>
    <mergeCell ref="AA209:AA211"/>
    <mergeCell ref="AB209:AB211"/>
    <mergeCell ref="N206:O208"/>
    <mergeCell ref="P206:Q208"/>
    <mergeCell ref="R206:S208"/>
    <mergeCell ref="T206:T207"/>
    <mergeCell ref="U206:U211"/>
    <mergeCell ref="V206:V211"/>
    <mergeCell ref="W206:W211"/>
    <mergeCell ref="X206:X211"/>
    <mergeCell ref="Y206:Y211"/>
    <mergeCell ref="A206:A211"/>
    <mergeCell ref="B206:B207"/>
    <mergeCell ref="C206:E206"/>
    <mergeCell ref="F206:G206"/>
    <mergeCell ref="H206:H211"/>
    <mergeCell ref="J206:J208"/>
    <mergeCell ref="K206:K207"/>
    <mergeCell ref="M206:M207"/>
    <mergeCell ref="AC215:AC217"/>
    <mergeCell ref="B216:B217"/>
    <mergeCell ref="C216:E216"/>
    <mergeCell ref="F216:G216"/>
    <mergeCell ref="K216:K217"/>
    <mergeCell ref="M204:M205"/>
    <mergeCell ref="T204:T205"/>
    <mergeCell ref="AD204:AD205"/>
    <mergeCell ref="C205:E205"/>
    <mergeCell ref="F205:G205"/>
    <mergeCell ref="Z200:Z202"/>
    <mergeCell ref="AA200:AA202"/>
    <mergeCell ref="AB200:AB202"/>
    <mergeCell ref="AC200:AC202"/>
    <mergeCell ref="AD200:AD201"/>
    <mergeCell ref="AE200:AE205"/>
    <mergeCell ref="C201:E201"/>
    <mergeCell ref="F201:G201"/>
    <mergeCell ref="B202:B203"/>
    <mergeCell ref="C202:E202"/>
    <mergeCell ref="F202:G202"/>
    <mergeCell ref="K202:K203"/>
    <mergeCell ref="M202:M203"/>
    <mergeCell ref="T202:T203"/>
    <mergeCell ref="AD202:AD203"/>
    <mergeCell ref="C203:E203"/>
    <mergeCell ref="F203:G203"/>
    <mergeCell ref="J203:J205"/>
    <mergeCell ref="N203:O205"/>
    <mergeCell ref="P203:Q205"/>
    <mergeCell ref="R203:S205"/>
    <mergeCell ref="Z203:Z205"/>
    <mergeCell ref="AA203:AA205"/>
    <mergeCell ref="AB203:AB205"/>
    <mergeCell ref="N200:O202"/>
    <mergeCell ref="P200:Q202"/>
    <mergeCell ref="R200:S202"/>
    <mergeCell ref="T200:T201"/>
    <mergeCell ref="U200:U205"/>
    <mergeCell ref="V200:V205"/>
    <mergeCell ref="W200:W205"/>
    <mergeCell ref="X200:X205"/>
    <mergeCell ref="Y200:Y205"/>
    <mergeCell ref="A200:A205"/>
    <mergeCell ref="B200:B201"/>
    <mergeCell ref="C200:E200"/>
    <mergeCell ref="F200:G200"/>
    <mergeCell ref="H200:H205"/>
    <mergeCell ref="J200:J202"/>
    <mergeCell ref="K200:K201"/>
    <mergeCell ref="M200:M201"/>
    <mergeCell ref="AC197:AC199"/>
    <mergeCell ref="B198:B199"/>
    <mergeCell ref="C198:E198"/>
    <mergeCell ref="F198:G198"/>
    <mergeCell ref="K198:K199"/>
    <mergeCell ref="M198:M199"/>
    <mergeCell ref="T198:T199"/>
    <mergeCell ref="AD198:AD199"/>
    <mergeCell ref="C199:E199"/>
    <mergeCell ref="F199:G199"/>
    <mergeCell ref="Z194:Z196"/>
    <mergeCell ref="AA194:AA196"/>
    <mergeCell ref="AB194:AB196"/>
    <mergeCell ref="AC194:AC196"/>
    <mergeCell ref="AD194:AD195"/>
    <mergeCell ref="AE194:AE199"/>
    <mergeCell ref="C195:E195"/>
    <mergeCell ref="F195:G195"/>
    <mergeCell ref="B196:B197"/>
    <mergeCell ref="C196:E196"/>
    <mergeCell ref="F196:G196"/>
    <mergeCell ref="K196:K197"/>
    <mergeCell ref="M196:M197"/>
    <mergeCell ref="T196:T197"/>
    <mergeCell ref="AD196:AD197"/>
    <mergeCell ref="C197:E197"/>
    <mergeCell ref="F197:G197"/>
    <mergeCell ref="J197:J199"/>
    <mergeCell ref="N197:O199"/>
    <mergeCell ref="P197:Q199"/>
    <mergeCell ref="R197:S199"/>
    <mergeCell ref="Z197:Z199"/>
    <mergeCell ref="AA197:AA199"/>
    <mergeCell ref="AB197:AB199"/>
    <mergeCell ref="N194:O196"/>
    <mergeCell ref="P194:Q196"/>
    <mergeCell ref="R194:S196"/>
    <mergeCell ref="T194:T195"/>
    <mergeCell ref="U194:U199"/>
    <mergeCell ref="V194:V199"/>
    <mergeCell ref="W194:W199"/>
    <mergeCell ref="X194:X199"/>
    <mergeCell ref="Y194:Y199"/>
    <mergeCell ref="A194:A199"/>
    <mergeCell ref="B194:B195"/>
    <mergeCell ref="C194:E194"/>
    <mergeCell ref="F194:G194"/>
    <mergeCell ref="H194:H199"/>
    <mergeCell ref="J194:J196"/>
    <mergeCell ref="K194:K195"/>
    <mergeCell ref="M194:M195"/>
    <mergeCell ref="AC203:AC205"/>
    <mergeCell ref="B204:B205"/>
    <mergeCell ref="C204:E204"/>
    <mergeCell ref="F204:G204"/>
    <mergeCell ref="K204:K205"/>
    <mergeCell ref="M190:M191"/>
    <mergeCell ref="T190:T191"/>
    <mergeCell ref="AD190:AD191"/>
    <mergeCell ref="C191:E191"/>
    <mergeCell ref="F191:G191"/>
    <mergeCell ref="Z186:Z188"/>
    <mergeCell ref="AA186:AA188"/>
    <mergeCell ref="AB186:AB188"/>
    <mergeCell ref="AC186:AC188"/>
    <mergeCell ref="AD186:AD187"/>
    <mergeCell ref="AE186:AE191"/>
    <mergeCell ref="C187:E187"/>
    <mergeCell ref="F187:G187"/>
    <mergeCell ref="B188:B189"/>
    <mergeCell ref="C188:E188"/>
    <mergeCell ref="F188:G188"/>
    <mergeCell ref="K188:K189"/>
    <mergeCell ref="M188:M189"/>
    <mergeCell ref="T188:T189"/>
    <mergeCell ref="AD188:AD189"/>
    <mergeCell ref="C189:E189"/>
    <mergeCell ref="F189:G189"/>
    <mergeCell ref="J189:J191"/>
    <mergeCell ref="N189:O191"/>
    <mergeCell ref="P189:Q191"/>
    <mergeCell ref="R189:S191"/>
    <mergeCell ref="Z189:Z191"/>
    <mergeCell ref="AA189:AA191"/>
    <mergeCell ref="AB189:AB191"/>
    <mergeCell ref="N186:O188"/>
    <mergeCell ref="P186:Q188"/>
    <mergeCell ref="R186:S188"/>
    <mergeCell ref="T186:T187"/>
    <mergeCell ref="U186:U191"/>
    <mergeCell ref="V186:V191"/>
    <mergeCell ref="W186:W191"/>
    <mergeCell ref="X186:X191"/>
    <mergeCell ref="Y186:Y191"/>
    <mergeCell ref="A186:A191"/>
    <mergeCell ref="B186:B187"/>
    <mergeCell ref="C186:E186"/>
    <mergeCell ref="F186:G186"/>
    <mergeCell ref="H186:H191"/>
    <mergeCell ref="J186:J188"/>
    <mergeCell ref="K186:K187"/>
    <mergeCell ref="M186:M187"/>
    <mergeCell ref="AC183:AC185"/>
    <mergeCell ref="B184:B185"/>
    <mergeCell ref="C184:E184"/>
    <mergeCell ref="F184:G184"/>
    <mergeCell ref="K184:K185"/>
    <mergeCell ref="M184:M185"/>
    <mergeCell ref="T184:T185"/>
    <mergeCell ref="AD184:AD185"/>
    <mergeCell ref="C185:E185"/>
    <mergeCell ref="F185:G185"/>
    <mergeCell ref="Z180:Z182"/>
    <mergeCell ref="AA180:AA182"/>
    <mergeCell ref="AB180:AB182"/>
    <mergeCell ref="AC180:AC182"/>
    <mergeCell ref="AD180:AD181"/>
    <mergeCell ref="AE180:AE185"/>
    <mergeCell ref="C181:E181"/>
    <mergeCell ref="F181:G181"/>
    <mergeCell ref="B182:B183"/>
    <mergeCell ref="C182:E182"/>
    <mergeCell ref="F182:G182"/>
    <mergeCell ref="K182:K183"/>
    <mergeCell ref="M182:M183"/>
    <mergeCell ref="T182:T183"/>
    <mergeCell ref="AD182:AD183"/>
    <mergeCell ref="C183:E183"/>
    <mergeCell ref="F183:G183"/>
    <mergeCell ref="J183:J185"/>
    <mergeCell ref="N183:O185"/>
    <mergeCell ref="P183:Q185"/>
    <mergeCell ref="R183:S185"/>
    <mergeCell ref="Z183:Z185"/>
    <mergeCell ref="AA183:AA185"/>
    <mergeCell ref="AB183:AB185"/>
    <mergeCell ref="N180:O182"/>
    <mergeCell ref="P180:Q182"/>
    <mergeCell ref="R180:S182"/>
    <mergeCell ref="T180:T181"/>
    <mergeCell ref="U180:U185"/>
    <mergeCell ref="V180:V185"/>
    <mergeCell ref="W180:W185"/>
    <mergeCell ref="X180:X185"/>
    <mergeCell ref="Y180:Y185"/>
    <mergeCell ref="A180:A185"/>
    <mergeCell ref="B180:B181"/>
    <mergeCell ref="C180:E180"/>
    <mergeCell ref="F180:G180"/>
    <mergeCell ref="H180:H185"/>
    <mergeCell ref="J180:J182"/>
    <mergeCell ref="K180:K181"/>
    <mergeCell ref="M180:M181"/>
    <mergeCell ref="AC189:AC191"/>
    <mergeCell ref="B190:B191"/>
    <mergeCell ref="C190:E190"/>
    <mergeCell ref="F190:G190"/>
    <mergeCell ref="K190:K191"/>
    <mergeCell ref="M178:M179"/>
    <mergeCell ref="T178:T179"/>
    <mergeCell ref="AD178:AD179"/>
    <mergeCell ref="C179:E179"/>
    <mergeCell ref="F179:G179"/>
    <mergeCell ref="Z174:Z176"/>
    <mergeCell ref="AA174:AA176"/>
    <mergeCell ref="AB174:AB176"/>
    <mergeCell ref="AC174:AC176"/>
    <mergeCell ref="AD174:AD175"/>
    <mergeCell ref="AE174:AE179"/>
    <mergeCell ref="C175:E175"/>
    <mergeCell ref="F175:G175"/>
    <mergeCell ref="B176:B177"/>
    <mergeCell ref="C176:E176"/>
    <mergeCell ref="F176:G176"/>
    <mergeCell ref="K176:K177"/>
    <mergeCell ref="M176:M177"/>
    <mergeCell ref="T176:T177"/>
    <mergeCell ref="AD176:AD177"/>
    <mergeCell ref="C177:E177"/>
    <mergeCell ref="F177:G177"/>
    <mergeCell ref="J177:J179"/>
    <mergeCell ref="N177:O179"/>
    <mergeCell ref="P177:Q179"/>
    <mergeCell ref="R177:S179"/>
    <mergeCell ref="Z177:Z179"/>
    <mergeCell ref="AA177:AA179"/>
    <mergeCell ref="AB177:AB179"/>
    <mergeCell ref="N174:O176"/>
    <mergeCell ref="P174:Q176"/>
    <mergeCell ref="R174:S176"/>
    <mergeCell ref="T174:T175"/>
    <mergeCell ref="U174:U179"/>
    <mergeCell ref="V174:V179"/>
    <mergeCell ref="W174:W179"/>
    <mergeCell ref="X174:X179"/>
    <mergeCell ref="Y174:Y179"/>
    <mergeCell ref="A174:A179"/>
    <mergeCell ref="B174:B175"/>
    <mergeCell ref="C174:E174"/>
    <mergeCell ref="F174:G174"/>
    <mergeCell ref="H174:H179"/>
    <mergeCell ref="J174:J176"/>
    <mergeCell ref="K174:K175"/>
    <mergeCell ref="M174:M175"/>
    <mergeCell ref="AC171:AC173"/>
    <mergeCell ref="B172:B173"/>
    <mergeCell ref="C172:E172"/>
    <mergeCell ref="F172:G172"/>
    <mergeCell ref="K172:K173"/>
    <mergeCell ref="M172:M173"/>
    <mergeCell ref="T172:T173"/>
    <mergeCell ref="AD172:AD173"/>
    <mergeCell ref="C173:E173"/>
    <mergeCell ref="F173:G173"/>
    <mergeCell ref="Z168:Z170"/>
    <mergeCell ref="AA168:AA170"/>
    <mergeCell ref="AB168:AB170"/>
    <mergeCell ref="AC168:AC170"/>
    <mergeCell ref="AD168:AD169"/>
    <mergeCell ref="AE168:AE173"/>
    <mergeCell ref="C169:E169"/>
    <mergeCell ref="F169:G169"/>
    <mergeCell ref="B170:B171"/>
    <mergeCell ref="C170:E170"/>
    <mergeCell ref="F170:G170"/>
    <mergeCell ref="K170:K171"/>
    <mergeCell ref="M170:M171"/>
    <mergeCell ref="T170:T171"/>
    <mergeCell ref="AD170:AD171"/>
    <mergeCell ref="C171:E171"/>
    <mergeCell ref="F171:G171"/>
    <mergeCell ref="J171:J173"/>
    <mergeCell ref="N171:O173"/>
    <mergeCell ref="P171:Q173"/>
    <mergeCell ref="R171:S173"/>
    <mergeCell ref="Z171:Z173"/>
    <mergeCell ref="AA171:AA173"/>
    <mergeCell ref="AB171:AB173"/>
    <mergeCell ref="N168:O170"/>
    <mergeCell ref="P168:Q170"/>
    <mergeCell ref="R168:S170"/>
    <mergeCell ref="T168:T169"/>
    <mergeCell ref="U168:U173"/>
    <mergeCell ref="V168:V173"/>
    <mergeCell ref="W168:W173"/>
    <mergeCell ref="X168:X173"/>
    <mergeCell ref="Y168:Y173"/>
    <mergeCell ref="A168:A173"/>
    <mergeCell ref="B168:B169"/>
    <mergeCell ref="C168:E168"/>
    <mergeCell ref="F168:G168"/>
    <mergeCell ref="H168:H173"/>
    <mergeCell ref="J168:J170"/>
    <mergeCell ref="K168:K169"/>
    <mergeCell ref="M168:M169"/>
    <mergeCell ref="AC177:AC179"/>
    <mergeCell ref="B178:B179"/>
    <mergeCell ref="C178:E178"/>
    <mergeCell ref="F178:G178"/>
    <mergeCell ref="K178:K179"/>
    <mergeCell ref="M166:M167"/>
    <mergeCell ref="T166:T167"/>
    <mergeCell ref="AD166:AD167"/>
    <mergeCell ref="C167:E167"/>
    <mergeCell ref="F167:G167"/>
    <mergeCell ref="Z162:Z164"/>
    <mergeCell ref="AA162:AA164"/>
    <mergeCell ref="AB162:AB164"/>
    <mergeCell ref="AC162:AC164"/>
    <mergeCell ref="AD162:AD163"/>
    <mergeCell ref="AE162:AE167"/>
    <mergeCell ref="C163:E163"/>
    <mergeCell ref="F163:G163"/>
    <mergeCell ref="B164:B165"/>
    <mergeCell ref="C164:E164"/>
    <mergeCell ref="F164:G164"/>
    <mergeCell ref="K164:K165"/>
    <mergeCell ref="M164:M165"/>
    <mergeCell ref="T164:T165"/>
    <mergeCell ref="AD164:AD165"/>
    <mergeCell ref="C165:E165"/>
    <mergeCell ref="F165:G165"/>
    <mergeCell ref="J165:J167"/>
    <mergeCell ref="N165:O167"/>
    <mergeCell ref="P165:Q167"/>
    <mergeCell ref="R165:S167"/>
    <mergeCell ref="Z165:Z167"/>
    <mergeCell ref="AA165:AA167"/>
    <mergeCell ref="AB165:AB167"/>
    <mergeCell ref="N162:O164"/>
    <mergeCell ref="P162:Q164"/>
    <mergeCell ref="R162:S164"/>
    <mergeCell ref="T162:T163"/>
    <mergeCell ref="U162:U167"/>
    <mergeCell ref="V162:V167"/>
    <mergeCell ref="W162:W167"/>
    <mergeCell ref="X162:X167"/>
    <mergeCell ref="Y162:Y167"/>
    <mergeCell ref="A162:A167"/>
    <mergeCell ref="B162:B163"/>
    <mergeCell ref="C162:E162"/>
    <mergeCell ref="F162:G162"/>
    <mergeCell ref="H162:H167"/>
    <mergeCell ref="J162:J164"/>
    <mergeCell ref="K162:K163"/>
    <mergeCell ref="M162:M163"/>
    <mergeCell ref="AC157:AC159"/>
    <mergeCell ref="B158:B159"/>
    <mergeCell ref="C158:E158"/>
    <mergeCell ref="F158:G158"/>
    <mergeCell ref="K158:K159"/>
    <mergeCell ref="M158:M159"/>
    <mergeCell ref="T158:T159"/>
    <mergeCell ref="AD158:AD159"/>
    <mergeCell ref="C159:E159"/>
    <mergeCell ref="F159:G159"/>
    <mergeCell ref="Z154:Z156"/>
    <mergeCell ref="AA154:AA156"/>
    <mergeCell ref="AB154:AB156"/>
    <mergeCell ref="AC154:AC156"/>
    <mergeCell ref="AD154:AD155"/>
    <mergeCell ref="AE154:AE159"/>
    <mergeCell ref="C155:E155"/>
    <mergeCell ref="F155:G155"/>
    <mergeCell ref="B156:B157"/>
    <mergeCell ref="C156:E156"/>
    <mergeCell ref="F156:G156"/>
    <mergeCell ref="K156:K157"/>
    <mergeCell ref="M156:M157"/>
    <mergeCell ref="T156:T157"/>
    <mergeCell ref="AD156:AD157"/>
    <mergeCell ref="C157:E157"/>
    <mergeCell ref="F157:G157"/>
    <mergeCell ref="J157:J159"/>
    <mergeCell ref="N157:O159"/>
    <mergeCell ref="P157:Q159"/>
    <mergeCell ref="R157:S159"/>
    <mergeCell ref="Z157:Z159"/>
    <mergeCell ref="AA157:AA159"/>
    <mergeCell ref="AB157:AB159"/>
    <mergeCell ref="N154:O156"/>
    <mergeCell ref="P154:Q156"/>
    <mergeCell ref="R154:S156"/>
    <mergeCell ref="T154:T155"/>
    <mergeCell ref="U154:U159"/>
    <mergeCell ref="V154:V159"/>
    <mergeCell ref="W154:W159"/>
    <mergeCell ref="X154:X159"/>
    <mergeCell ref="Y154:Y159"/>
    <mergeCell ref="A154:A159"/>
    <mergeCell ref="B154:B155"/>
    <mergeCell ref="C154:E154"/>
    <mergeCell ref="F154:G154"/>
    <mergeCell ref="H154:H159"/>
    <mergeCell ref="J154:J156"/>
    <mergeCell ref="K154:K155"/>
    <mergeCell ref="M154:M155"/>
    <mergeCell ref="AC165:AC167"/>
    <mergeCell ref="B166:B167"/>
    <mergeCell ref="C166:E166"/>
    <mergeCell ref="F166:G166"/>
    <mergeCell ref="K166:K167"/>
    <mergeCell ref="M152:M153"/>
    <mergeCell ref="T152:T153"/>
    <mergeCell ref="AD152:AD153"/>
    <mergeCell ref="C153:E153"/>
    <mergeCell ref="F153:G153"/>
    <mergeCell ref="Z148:Z150"/>
    <mergeCell ref="AA148:AA150"/>
    <mergeCell ref="AB148:AB150"/>
    <mergeCell ref="AC148:AC150"/>
    <mergeCell ref="AD148:AD149"/>
    <mergeCell ref="AE148:AE153"/>
    <mergeCell ref="C149:E149"/>
    <mergeCell ref="F149:G149"/>
    <mergeCell ref="B150:B151"/>
    <mergeCell ref="C150:E150"/>
    <mergeCell ref="F150:G150"/>
    <mergeCell ref="K150:K151"/>
    <mergeCell ref="M150:M151"/>
    <mergeCell ref="T150:T151"/>
    <mergeCell ref="AD150:AD151"/>
    <mergeCell ref="C151:E151"/>
    <mergeCell ref="F151:G151"/>
    <mergeCell ref="J151:J153"/>
    <mergeCell ref="N151:O153"/>
    <mergeCell ref="P151:Q153"/>
    <mergeCell ref="R151:S153"/>
    <mergeCell ref="Z151:Z153"/>
    <mergeCell ref="AA151:AA153"/>
    <mergeCell ref="AB151:AB153"/>
    <mergeCell ref="N148:O150"/>
    <mergeCell ref="P148:Q150"/>
    <mergeCell ref="R148:S150"/>
    <mergeCell ref="T148:T149"/>
    <mergeCell ref="U148:U153"/>
    <mergeCell ref="V148:V153"/>
    <mergeCell ref="W148:W153"/>
    <mergeCell ref="X148:X153"/>
    <mergeCell ref="Y148:Y153"/>
    <mergeCell ref="A148:A153"/>
    <mergeCell ref="B148:B149"/>
    <mergeCell ref="C148:E148"/>
    <mergeCell ref="F148:G148"/>
    <mergeCell ref="H148:H153"/>
    <mergeCell ref="J148:J150"/>
    <mergeCell ref="K148:K149"/>
    <mergeCell ref="M148:M149"/>
    <mergeCell ref="AC145:AC147"/>
    <mergeCell ref="B146:B147"/>
    <mergeCell ref="C146:E146"/>
    <mergeCell ref="F146:G146"/>
    <mergeCell ref="K146:K147"/>
    <mergeCell ref="M146:M147"/>
    <mergeCell ref="T146:T147"/>
    <mergeCell ref="AD146:AD147"/>
    <mergeCell ref="C147:E147"/>
    <mergeCell ref="F147:G147"/>
    <mergeCell ref="Z142:Z144"/>
    <mergeCell ref="AA142:AA144"/>
    <mergeCell ref="AB142:AB144"/>
    <mergeCell ref="AC142:AC144"/>
    <mergeCell ref="AD142:AD143"/>
    <mergeCell ref="AE142:AE147"/>
    <mergeCell ref="C143:E143"/>
    <mergeCell ref="F143:G143"/>
    <mergeCell ref="B144:B145"/>
    <mergeCell ref="C144:E144"/>
    <mergeCell ref="F144:G144"/>
    <mergeCell ref="K144:K145"/>
    <mergeCell ref="M144:M145"/>
    <mergeCell ref="T144:T145"/>
    <mergeCell ref="AD144:AD145"/>
    <mergeCell ref="C145:E145"/>
    <mergeCell ref="F145:G145"/>
    <mergeCell ref="J145:J147"/>
    <mergeCell ref="N145:O147"/>
    <mergeCell ref="P145:Q147"/>
    <mergeCell ref="R145:S147"/>
    <mergeCell ref="Z145:Z147"/>
    <mergeCell ref="AA145:AA147"/>
    <mergeCell ref="AB145:AB147"/>
    <mergeCell ref="N142:O144"/>
    <mergeCell ref="P142:Q144"/>
    <mergeCell ref="R142:S144"/>
    <mergeCell ref="T142:T143"/>
    <mergeCell ref="U142:U147"/>
    <mergeCell ref="V142:V147"/>
    <mergeCell ref="W142:W147"/>
    <mergeCell ref="X142:X147"/>
    <mergeCell ref="Y142:Y147"/>
    <mergeCell ref="A142:A147"/>
    <mergeCell ref="B142:B143"/>
    <mergeCell ref="C142:E142"/>
    <mergeCell ref="F142:G142"/>
    <mergeCell ref="H142:H147"/>
    <mergeCell ref="J142:J144"/>
    <mergeCell ref="K142:K143"/>
    <mergeCell ref="M142:M143"/>
    <mergeCell ref="AC151:AC153"/>
    <mergeCell ref="B152:B153"/>
    <mergeCell ref="C152:E152"/>
    <mergeCell ref="F152:G152"/>
    <mergeCell ref="K152:K153"/>
    <mergeCell ref="AD140:AD141"/>
    <mergeCell ref="C141:E141"/>
    <mergeCell ref="F141:G141"/>
    <mergeCell ref="Z136:Z138"/>
    <mergeCell ref="AA136:AA138"/>
    <mergeCell ref="AB136:AB138"/>
    <mergeCell ref="AC136:AC138"/>
    <mergeCell ref="AD136:AD137"/>
    <mergeCell ref="AE136:AE141"/>
    <mergeCell ref="C137:E137"/>
    <mergeCell ref="F137:G137"/>
    <mergeCell ref="B138:B139"/>
    <mergeCell ref="C138:E138"/>
    <mergeCell ref="F138:G138"/>
    <mergeCell ref="K138:K139"/>
    <mergeCell ref="M138:M139"/>
    <mergeCell ref="T138:T139"/>
    <mergeCell ref="AD138:AD139"/>
    <mergeCell ref="C139:E139"/>
    <mergeCell ref="F139:G139"/>
    <mergeCell ref="J139:J141"/>
    <mergeCell ref="N139:O141"/>
    <mergeCell ref="P139:Q141"/>
    <mergeCell ref="R139:S141"/>
    <mergeCell ref="Z139:Z141"/>
    <mergeCell ref="AA139:AA141"/>
    <mergeCell ref="AB139:AB141"/>
    <mergeCell ref="N136:O138"/>
    <mergeCell ref="P136:Q138"/>
    <mergeCell ref="R136:S138"/>
    <mergeCell ref="T136:T137"/>
    <mergeCell ref="U136:U141"/>
    <mergeCell ref="V136:V141"/>
    <mergeCell ref="W136:W141"/>
    <mergeCell ref="X136:X141"/>
    <mergeCell ref="Y136:Y141"/>
    <mergeCell ref="I136:I138"/>
    <mergeCell ref="I139:I141"/>
    <mergeCell ref="J133:J135"/>
    <mergeCell ref="N133:O135"/>
    <mergeCell ref="P133:Q135"/>
    <mergeCell ref="R133:S135"/>
    <mergeCell ref="Z133:Z135"/>
    <mergeCell ref="AA133:AA135"/>
    <mergeCell ref="AB133:AB135"/>
    <mergeCell ref="N130:O132"/>
    <mergeCell ref="P130:Q132"/>
    <mergeCell ref="R130:S132"/>
    <mergeCell ref="T130:T131"/>
    <mergeCell ref="U130:U135"/>
    <mergeCell ref="V130:V135"/>
    <mergeCell ref="W130:W135"/>
    <mergeCell ref="X130:X135"/>
    <mergeCell ref="Y130:Y135"/>
    <mergeCell ref="A130:A135"/>
    <mergeCell ref="B130:B131"/>
    <mergeCell ref="C130:E130"/>
    <mergeCell ref="F130:G130"/>
    <mergeCell ref="H130:H135"/>
    <mergeCell ref="J130:J132"/>
    <mergeCell ref="K130:K131"/>
    <mergeCell ref="M130:M131"/>
    <mergeCell ref="AC139:AC141"/>
    <mergeCell ref="B140:B141"/>
    <mergeCell ref="C140:E140"/>
    <mergeCell ref="F140:G140"/>
    <mergeCell ref="K140:K141"/>
    <mergeCell ref="M140:M141"/>
    <mergeCell ref="T140:T141"/>
    <mergeCell ref="I130:I132"/>
    <mergeCell ref="I133:I135"/>
    <mergeCell ref="AE122:AE127"/>
    <mergeCell ref="C123:E123"/>
    <mergeCell ref="F123:G123"/>
    <mergeCell ref="B124:B125"/>
    <mergeCell ref="C124:E124"/>
    <mergeCell ref="F124:G124"/>
    <mergeCell ref="K124:K125"/>
    <mergeCell ref="M124:M125"/>
    <mergeCell ref="T124:T125"/>
    <mergeCell ref="AD124:AD125"/>
    <mergeCell ref="C125:E125"/>
    <mergeCell ref="F125:G125"/>
    <mergeCell ref="J125:J127"/>
    <mergeCell ref="N125:O127"/>
    <mergeCell ref="P125:Q127"/>
    <mergeCell ref="R125:S127"/>
    <mergeCell ref="Z125:Z127"/>
    <mergeCell ref="AA125:AA127"/>
    <mergeCell ref="AB125:AB127"/>
    <mergeCell ref="N122:O124"/>
    <mergeCell ref="P122:Q124"/>
    <mergeCell ref="R122:S124"/>
    <mergeCell ref="T122:T123"/>
    <mergeCell ref="U122:U127"/>
    <mergeCell ref="V122:V127"/>
    <mergeCell ref="W122:W127"/>
    <mergeCell ref="X122:X127"/>
    <mergeCell ref="Y122:Y127"/>
    <mergeCell ref="I125:I127"/>
    <mergeCell ref="A136:A141"/>
    <mergeCell ref="B136:B137"/>
    <mergeCell ref="C136:E136"/>
    <mergeCell ref="F136:G136"/>
    <mergeCell ref="H136:H141"/>
    <mergeCell ref="J136:J138"/>
    <mergeCell ref="K136:K137"/>
    <mergeCell ref="M136:M137"/>
    <mergeCell ref="AC133:AC135"/>
    <mergeCell ref="B134:B135"/>
    <mergeCell ref="C134:E134"/>
    <mergeCell ref="F134:G134"/>
    <mergeCell ref="K134:K135"/>
    <mergeCell ref="M134:M135"/>
    <mergeCell ref="T134:T135"/>
    <mergeCell ref="AD134:AD135"/>
    <mergeCell ref="C135:E135"/>
    <mergeCell ref="F135:G135"/>
    <mergeCell ref="Z130:Z132"/>
    <mergeCell ref="AA130:AA132"/>
    <mergeCell ref="AB130:AB132"/>
    <mergeCell ref="AC130:AC132"/>
    <mergeCell ref="AD130:AD131"/>
    <mergeCell ref="AE130:AE135"/>
    <mergeCell ref="C131:E131"/>
    <mergeCell ref="F131:G131"/>
    <mergeCell ref="B132:B133"/>
    <mergeCell ref="C132:E132"/>
    <mergeCell ref="F132:G132"/>
    <mergeCell ref="K132:K133"/>
    <mergeCell ref="M132:M133"/>
    <mergeCell ref="T132:T133"/>
    <mergeCell ref="AD132:AD133"/>
    <mergeCell ref="C133:E133"/>
    <mergeCell ref="F133:G133"/>
    <mergeCell ref="A110:A115"/>
    <mergeCell ref="B110:B111"/>
    <mergeCell ref="C110:E110"/>
    <mergeCell ref="AE116:AE121"/>
    <mergeCell ref="C117:E117"/>
    <mergeCell ref="F117:G117"/>
    <mergeCell ref="B118:B119"/>
    <mergeCell ref="C118:E118"/>
    <mergeCell ref="F118:G118"/>
    <mergeCell ref="K118:K119"/>
    <mergeCell ref="M118:M119"/>
    <mergeCell ref="T118:T119"/>
    <mergeCell ref="AD118:AD119"/>
    <mergeCell ref="C119:E119"/>
    <mergeCell ref="F119:G119"/>
    <mergeCell ref="J119:J121"/>
    <mergeCell ref="N119:O121"/>
    <mergeCell ref="P119:Q121"/>
    <mergeCell ref="R119:S121"/>
    <mergeCell ref="Z119:Z121"/>
    <mergeCell ref="AA119:AA121"/>
    <mergeCell ref="AB119:AB121"/>
    <mergeCell ref="N116:O118"/>
    <mergeCell ref="P116:Q118"/>
    <mergeCell ref="R116:S118"/>
    <mergeCell ref="T116:T117"/>
    <mergeCell ref="U116:U121"/>
    <mergeCell ref="V116:V121"/>
    <mergeCell ref="W116:W121"/>
    <mergeCell ref="X116:X121"/>
    <mergeCell ref="Y116:Y121"/>
    <mergeCell ref="A116:A121"/>
    <mergeCell ref="B116:B117"/>
    <mergeCell ref="C116:E116"/>
    <mergeCell ref="F116:G116"/>
    <mergeCell ref="H116:H121"/>
    <mergeCell ref="J116:J118"/>
    <mergeCell ref="K116:K117"/>
    <mergeCell ref="M116:M117"/>
    <mergeCell ref="I116:I118"/>
    <mergeCell ref="I119:I121"/>
    <mergeCell ref="I110:I112"/>
    <mergeCell ref="I113:I115"/>
    <mergeCell ref="AC113:AC115"/>
    <mergeCell ref="B114:B115"/>
    <mergeCell ref="C114:E114"/>
    <mergeCell ref="F114:G114"/>
    <mergeCell ref="K114:K115"/>
    <mergeCell ref="M114:M115"/>
    <mergeCell ref="T114:T115"/>
    <mergeCell ref="AD114:AD115"/>
    <mergeCell ref="C115:E115"/>
    <mergeCell ref="F115:G115"/>
    <mergeCell ref="Z110:Z112"/>
    <mergeCell ref="AA110:AA112"/>
    <mergeCell ref="AB110:AB112"/>
    <mergeCell ref="AC110:AC112"/>
    <mergeCell ref="AD110:AD111"/>
    <mergeCell ref="AE110:AE115"/>
    <mergeCell ref="C111:E111"/>
    <mergeCell ref="F111:G111"/>
    <mergeCell ref="B112:B113"/>
    <mergeCell ref="C112:E112"/>
    <mergeCell ref="F112:G112"/>
    <mergeCell ref="A122:A127"/>
    <mergeCell ref="B122:B123"/>
    <mergeCell ref="C122:E122"/>
    <mergeCell ref="F122:G122"/>
    <mergeCell ref="H122:H127"/>
    <mergeCell ref="J122:J124"/>
    <mergeCell ref="K122:K123"/>
    <mergeCell ref="M122:M123"/>
    <mergeCell ref="AC119:AC121"/>
    <mergeCell ref="B120:B121"/>
    <mergeCell ref="C120:E120"/>
    <mergeCell ref="F120:G120"/>
    <mergeCell ref="K120:K121"/>
    <mergeCell ref="M120:M121"/>
    <mergeCell ref="T120:T121"/>
    <mergeCell ref="AD120:AD121"/>
    <mergeCell ref="C121:E121"/>
    <mergeCell ref="F121:G121"/>
    <mergeCell ref="Z116:Z118"/>
    <mergeCell ref="AA116:AA118"/>
    <mergeCell ref="AB116:AB118"/>
    <mergeCell ref="AC116:AC118"/>
    <mergeCell ref="AD116:AD117"/>
    <mergeCell ref="I122:I124"/>
    <mergeCell ref="AC125:AC127"/>
    <mergeCell ref="B126:B127"/>
    <mergeCell ref="C126:E126"/>
    <mergeCell ref="F126:G126"/>
    <mergeCell ref="K126:K127"/>
    <mergeCell ref="M126:M127"/>
    <mergeCell ref="T126:T127"/>
    <mergeCell ref="AD126:AD127"/>
    <mergeCell ref="C127:E127"/>
    <mergeCell ref="F127:G127"/>
    <mergeCell ref="Z122:Z124"/>
    <mergeCell ref="AA122:AA124"/>
    <mergeCell ref="AB122:AB124"/>
    <mergeCell ref="AC122:AC124"/>
    <mergeCell ref="AD122:AD123"/>
    <mergeCell ref="K112:K113"/>
    <mergeCell ref="M112:M113"/>
    <mergeCell ref="T112:T113"/>
    <mergeCell ref="AD112:AD113"/>
    <mergeCell ref="C113:E113"/>
    <mergeCell ref="F113:G113"/>
    <mergeCell ref="J113:J115"/>
    <mergeCell ref="N113:O115"/>
    <mergeCell ref="P113:Q115"/>
    <mergeCell ref="R113:S115"/>
    <mergeCell ref="Z113:Z115"/>
    <mergeCell ref="AA113:AA115"/>
    <mergeCell ref="AB113:AB115"/>
    <mergeCell ref="N110:O112"/>
    <mergeCell ref="P110:Q112"/>
    <mergeCell ref="R110:S112"/>
    <mergeCell ref="T110:T111"/>
    <mergeCell ref="U110:U115"/>
    <mergeCell ref="V110:V115"/>
    <mergeCell ref="W110:W115"/>
    <mergeCell ref="X110:X115"/>
    <mergeCell ref="Y110:Y115"/>
    <mergeCell ref="AE98:AE103"/>
    <mergeCell ref="C99:E99"/>
    <mergeCell ref="F99:G99"/>
    <mergeCell ref="B100:B101"/>
    <mergeCell ref="C100:E100"/>
    <mergeCell ref="F100:G100"/>
    <mergeCell ref="K100:K101"/>
    <mergeCell ref="M100:M101"/>
    <mergeCell ref="T100:T101"/>
    <mergeCell ref="AD100:AD101"/>
    <mergeCell ref="C101:E101"/>
    <mergeCell ref="F101:G101"/>
    <mergeCell ref="J101:J103"/>
    <mergeCell ref="N101:O103"/>
    <mergeCell ref="P101:Q103"/>
    <mergeCell ref="R101:S103"/>
    <mergeCell ref="Z101:Z103"/>
    <mergeCell ref="AA101:AA103"/>
    <mergeCell ref="AB101:AB103"/>
    <mergeCell ref="AC101:AC103"/>
    <mergeCell ref="B102:B103"/>
    <mergeCell ref="C102:E102"/>
    <mergeCell ref="F102:G102"/>
    <mergeCell ref="K102:K103"/>
    <mergeCell ref="I104:I106"/>
    <mergeCell ref="I107:I109"/>
    <mergeCell ref="F110:G110"/>
    <mergeCell ref="H110:H115"/>
    <mergeCell ref="J110:J112"/>
    <mergeCell ref="K110:K111"/>
    <mergeCell ref="M110:M111"/>
    <mergeCell ref="B108:B109"/>
    <mergeCell ref="C108:E108"/>
    <mergeCell ref="F108:G108"/>
    <mergeCell ref="K108:K109"/>
    <mergeCell ref="M108:M109"/>
    <mergeCell ref="T108:T109"/>
    <mergeCell ref="AD108:AD109"/>
    <mergeCell ref="C109:E109"/>
    <mergeCell ref="F109:G109"/>
    <mergeCell ref="AA104:AA106"/>
    <mergeCell ref="AB104:AB106"/>
    <mergeCell ref="AD104:AD105"/>
    <mergeCell ref="AE104:AE109"/>
    <mergeCell ref="C105:E105"/>
    <mergeCell ref="F105:G105"/>
    <mergeCell ref="B106:B107"/>
    <mergeCell ref="C106:E106"/>
    <mergeCell ref="F106:G106"/>
    <mergeCell ref="K106:K107"/>
    <mergeCell ref="M106:M107"/>
    <mergeCell ref="T106:T107"/>
    <mergeCell ref="AD106:AD107"/>
    <mergeCell ref="C107:E107"/>
    <mergeCell ref="F107:G107"/>
    <mergeCell ref="J107:J109"/>
    <mergeCell ref="N107:O109"/>
    <mergeCell ref="P107:Q109"/>
    <mergeCell ref="R107:S109"/>
    <mergeCell ref="Z107:Z109"/>
    <mergeCell ref="AA107:AA109"/>
    <mergeCell ref="AB107:AB109"/>
    <mergeCell ref="AC107:AC109"/>
    <mergeCell ref="AD5:AD6"/>
    <mergeCell ref="C6:E6"/>
    <mergeCell ref="I6:I8"/>
    <mergeCell ref="AD7:AD8"/>
    <mergeCell ref="T9:T10"/>
    <mergeCell ref="T11:T12"/>
    <mergeCell ref="W9:W14"/>
    <mergeCell ref="AB3:AB8"/>
    <mergeCell ref="AC3:AC8"/>
    <mergeCell ref="J6:J8"/>
    <mergeCell ref="N6:O8"/>
    <mergeCell ref="P6:Q8"/>
    <mergeCell ref="R6:S8"/>
    <mergeCell ref="AD15:AD16"/>
    <mergeCell ref="U9:U14"/>
    <mergeCell ref="V9:V14"/>
    <mergeCell ref="N9:O11"/>
    <mergeCell ref="AD9:AD10"/>
    <mergeCell ref="B15:B16"/>
    <mergeCell ref="C15:E15"/>
    <mergeCell ref="F15:G15"/>
    <mergeCell ref="J15:J17"/>
    <mergeCell ref="K15:K16"/>
    <mergeCell ref="M15:M16"/>
    <mergeCell ref="N15:O17"/>
    <mergeCell ref="P15:Q17"/>
    <mergeCell ref="B11:B12"/>
    <mergeCell ref="C11:E11"/>
    <mergeCell ref="M102:M103"/>
    <mergeCell ref="AD102:AD103"/>
    <mergeCell ref="C103:E103"/>
    <mergeCell ref="F103:G103"/>
    <mergeCell ref="K23:K24"/>
    <mergeCell ref="M23:M24"/>
    <mergeCell ref="AD23:AD24"/>
    <mergeCell ref="C24:E24"/>
    <mergeCell ref="F24:G24"/>
    <mergeCell ref="J24:J26"/>
    <mergeCell ref="N24:O26"/>
    <mergeCell ref="P24:Q26"/>
    <mergeCell ref="R24:S26"/>
    <mergeCell ref="B25:B26"/>
    <mergeCell ref="AD21:AD22"/>
    <mergeCell ref="A104:A109"/>
    <mergeCell ref="B104:B105"/>
    <mergeCell ref="C104:E104"/>
    <mergeCell ref="F104:G104"/>
    <mergeCell ref="H104:H109"/>
    <mergeCell ref="J104:J106"/>
    <mergeCell ref="K104:K105"/>
    <mergeCell ref="M104:M105"/>
    <mergeCell ref="N104:O106"/>
    <mergeCell ref="P104:Q106"/>
    <mergeCell ref="R104:S106"/>
    <mergeCell ref="T104:T105"/>
    <mergeCell ref="U104:U109"/>
    <mergeCell ref="V104:V109"/>
    <mergeCell ref="W104:W109"/>
    <mergeCell ref="X104:X109"/>
    <mergeCell ref="Y104:Y109"/>
    <mergeCell ref="Z104:Z106"/>
    <mergeCell ref="AD11:AD12"/>
    <mergeCell ref="C12:E12"/>
    <mergeCell ref="C9:E9"/>
    <mergeCell ref="F9:G9"/>
    <mergeCell ref="J9:J11"/>
    <mergeCell ref="K9:K10"/>
    <mergeCell ref="AE9:AE14"/>
    <mergeCell ref="C10:E10"/>
    <mergeCell ref="F10:G10"/>
    <mergeCell ref="C8:E8"/>
    <mergeCell ref="F3:G8"/>
    <mergeCell ref="I3:I5"/>
    <mergeCell ref="J3:J5"/>
    <mergeCell ref="K3:M4"/>
    <mergeCell ref="N3:O5"/>
    <mergeCell ref="P3:Q5"/>
    <mergeCell ref="R3:S5"/>
    <mergeCell ref="U3:U8"/>
    <mergeCell ref="AE3:AE8"/>
    <mergeCell ref="C4:E4"/>
    <mergeCell ref="Y9:Y14"/>
    <mergeCell ref="AD13:AD14"/>
    <mergeCell ref="C14:E14"/>
    <mergeCell ref="F14:G14"/>
    <mergeCell ref="V3:V8"/>
    <mergeCell ref="Y3:Y8"/>
    <mergeCell ref="Z3:Z8"/>
    <mergeCell ref="AA3:AA8"/>
    <mergeCell ref="T7:T8"/>
    <mergeCell ref="AD3:AD4"/>
    <mergeCell ref="R18:S20"/>
    <mergeCell ref="B19:B20"/>
    <mergeCell ref="F19:G19"/>
    <mergeCell ref="M19:M20"/>
    <mergeCell ref="AD19:AD20"/>
    <mergeCell ref="C20:E20"/>
    <mergeCell ref="F20:G20"/>
    <mergeCell ref="R15:S17"/>
    <mergeCell ref="U15:U20"/>
    <mergeCell ref="AE21:AE26"/>
    <mergeCell ref="C22:E22"/>
    <mergeCell ref="F22:G22"/>
    <mergeCell ref="B23:B24"/>
    <mergeCell ref="C23:E23"/>
    <mergeCell ref="F23:G23"/>
    <mergeCell ref="AC104:AC106"/>
    <mergeCell ref="A1:AE1"/>
    <mergeCell ref="A98:A103"/>
    <mergeCell ref="B98:B99"/>
    <mergeCell ref="C98:E98"/>
    <mergeCell ref="F98:G98"/>
    <mergeCell ref="H98:H103"/>
    <mergeCell ref="J98:J100"/>
    <mergeCell ref="K98:K99"/>
    <mergeCell ref="M98:M99"/>
    <mergeCell ref="N98:O100"/>
    <mergeCell ref="P98:Q100"/>
    <mergeCell ref="R98:S100"/>
    <mergeCell ref="T98:T99"/>
    <mergeCell ref="U98:U103"/>
    <mergeCell ref="V98:V103"/>
    <mergeCell ref="W98:W103"/>
    <mergeCell ref="X98:X103"/>
    <mergeCell ref="Y98:Y103"/>
    <mergeCell ref="Z98:Z100"/>
    <mergeCell ref="AA98:AA100"/>
    <mergeCell ref="AB98:AB100"/>
    <mergeCell ref="AC98:AC100"/>
    <mergeCell ref="AD98:AD99"/>
    <mergeCell ref="B7:B8"/>
    <mergeCell ref="C7:E7"/>
    <mergeCell ref="K7:M8"/>
    <mergeCell ref="U21:U26"/>
    <mergeCell ref="V21:V26"/>
    <mergeCell ref="Y21:Y26"/>
    <mergeCell ref="P21:Q23"/>
    <mergeCell ref="U27:U32"/>
    <mergeCell ref="V27:V32"/>
    <mergeCell ref="B21:B22"/>
    <mergeCell ref="B9:B10"/>
    <mergeCell ref="C21:E21"/>
    <mergeCell ref="F21:G21"/>
    <mergeCell ref="J21:J23"/>
    <mergeCell ref="K21:K22"/>
    <mergeCell ref="AB18:AB20"/>
    <mergeCell ref="AC18:AC20"/>
    <mergeCell ref="Z21:Z23"/>
    <mergeCell ref="AA21:AA23"/>
    <mergeCell ref="C26:E26"/>
    <mergeCell ref="V15:V20"/>
    <mergeCell ref="Y15:Y20"/>
    <mergeCell ref="R12:S14"/>
    <mergeCell ref="B13:B14"/>
    <mergeCell ref="P9:Q11"/>
    <mergeCell ref="R9:S11"/>
    <mergeCell ref="AE15:AE20"/>
    <mergeCell ref="C16:E16"/>
    <mergeCell ref="F16:G16"/>
    <mergeCell ref="B17:B18"/>
    <mergeCell ref="C17:E17"/>
    <mergeCell ref="F17:G17"/>
    <mergeCell ref="K17:K18"/>
    <mergeCell ref="M17:M18"/>
    <mergeCell ref="AD17:AD18"/>
    <mergeCell ref="C18:E18"/>
    <mergeCell ref="F18:G18"/>
    <mergeCell ref="J18:J20"/>
    <mergeCell ref="B31:B32"/>
    <mergeCell ref="Z2:AC2"/>
    <mergeCell ref="F32:G32"/>
    <mergeCell ref="C2:E2"/>
    <mergeCell ref="F2:G2"/>
    <mergeCell ref="N2:S2"/>
    <mergeCell ref="J2:M2"/>
    <mergeCell ref="T3:T4"/>
    <mergeCell ref="T5:T6"/>
    <mergeCell ref="F13:G13"/>
    <mergeCell ref="K13:K14"/>
    <mergeCell ref="C27:E27"/>
    <mergeCell ref="F27:G27"/>
    <mergeCell ref="J27:J29"/>
    <mergeCell ref="K27:K28"/>
    <mergeCell ref="M27:M28"/>
    <mergeCell ref="N27:O29"/>
    <mergeCell ref="M21:M22"/>
    <mergeCell ref="X3:X8"/>
    <mergeCell ref="W3:W8"/>
    <mergeCell ref="C5:E5"/>
    <mergeCell ref="K5:M6"/>
    <mergeCell ref="C3:E3"/>
    <mergeCell ref="M13:M14"/>
    <mergeCell ref="F12:G12"/>
    <mergeCell ref="AC12:AC14"/>
    <mergeCell ref="Z15:Z17"/>
    <mergeCell ref="AA15:AA17"/>
    <mergeCell ref="AB15:AB17"/>
    <mergeCell ref="AC15:AC17"/>
    <mergeCell ref="Z18:Z20"/>
    <mergeCell ref="AA18:AA20"/>
    <mergeCell ref="T13:T14"/>
    <mergeCell ref="X9:X14"/>
    <mergeCell ref="T2:Y2"/>
    <mergeCell ref="N18:O20"/>
    <mergeCell ref="P18:Q20"/>
    <mergeCell ref="H3:H8"/>
    <mergeCell ref="H9:H14"/>
    <mergeCell ref="H15:H20"/>
    <mergeCell ref="H21:H26"/>
    <mergeCell ref="H27:H32"/>
    <mergeCell ref="I9:I11"/>
    <mergeCell ref="I12:I14"/>
    <mergeCell ref="C19:E19"/>
    <mergeCell ref="C13:E13"/>
    <mergeCell ref="C31:E31"/>
    <mergeCell ref="F31:G31"/>
    <mergeCell ref="AD31:AD32"/>
    <mergeCell ref="C32:E32"/>
    <mergeCell ref="P27:Q29"/>
    <mergeCell ref="R27:S29"/>
    <mergeCell ref="Y27:Y32"/>
    <mergeCell ref="AD27:AD28"/>
    <mergeCell ref="A9:A14"/>
    <mergeCell ref="A15:A20"/>
    <mergeCell ref="A27:A32"/>
    <mergeCell ref="A21:A26"/>
    <mergeCell ref="T15:T16"/>
    <mergeCell ref="W15:W20"/>
    <mergeCell ref="X15:X20"/>
    <mergeCell ref="T17:T18"/>
    <mergeCell ref="T19:T20"/>
    <mergeCell ref="T21:T22"/>
    <mergeCell ref="W21:W26"/>
    <mergeCell ref="X21:X26"/>
    <mergeCell ref="T23:T24"/>
    <mergeCell ref="T25:T26"/>
    <mergeCell ref="B27:B28"/>
    <mergeCell ref="A3:A4"/>
    <mergeCell ref="A5:A6"/>
    <mergeCell ref="A7:A8"/>
    <mergeCell ref="B5:B6"/>
    <mergeCell ref="B3:B4"/>
    <mergeCell ref="J12:J14"/>
    <mergeCell ref="N12:O14"/>
    <mergeCell ref="P12:Q14"/>
    <mergeCell ref="AE34:AE39"/>
    <mergeCell ref="AA34:AA36"/>
    <mergeCell ref="AB34:AB36"/>
    <mergeCell ref="AC34:AC36"/>
    <mergeCell ref="AD34:AD35"/>
    <mergeCell ref="AD36:AD37"/>
    <mergeCell ref="Z37:Z39"/>
    <mergeCell ref="V34:V39"/>
    <mergeCell ref="W34:W39"/>
    <mergeCell ref="I15:I17"/>
    <mergeCell ref="I18:I20"/>
    <mergeCell ref="I21:I23"/>
    <mergeCell ref="I24:I26"/>
    <mergeCell ref="I27:I29"/>
    <mergeCell ref="I30:I32"/>
    <mergeCell ref="C25:E25"/>
    <mergeCell ref="F25:G25"/>
    <mergeCell ref="K25:K26"/>
    <mergeCell ref="M25:M26"/>
    <mergeCell ref="AD25:AD26"/>
    <mergeCell ref="F11:G11"/>
    <mergeCell ref="K11:K12"/>
    <mergeCell ref="M11:M12"/>
    <mergeCell ref="AE27:AE32"/>
    <mergeCell ref="C28:E28"/>
    <mergeCell ref="F28:G28"/>
    <mergeCell ref="B29:B30"/>
    <mergeCell ref="C29:E29"/>
    <mergeCell ref="F29:G29"/>
    <mergeCell ref="K29:K30"/>
    <mergeCell ref="M29:M30"/>
    <mergeCell ref="AD29:AD30"/>
    <mergeCell ref="C30:E30"/>
    <mergeCell ref="F30:G30"/>
    <mergeCell ref="J30:J32"/>
    <mergeCell ref="AE40:AE45"/>
    <mergeCell ref="B42:B43"/>
    <mergeCell ref="J43:J45"/>
    <mergeCell ref="B44:B45"/>
    <mergeCell ref="V40:V45"/>
    <mergeCell ref="W40:W45"/>
    <mergeCell ref="X40:X45"/>
    <mergeCell ref="Y40:Y45"/>
    <mergeCell ref="AA40:AA42"/>
    <mergeCell ref="T42:T43"/>
    <mergeCell ref="P43:Q45"/>
    <mergeCell ref="R43:S45"/>
    <mergeCell ref="Z43:Z45"/>
    <mergeCell ref="B40:B41"/>
    <mergeCell ref="C38:E38"/>
    <mergeCell ref="M38:M39"/>
    <mergeCell ref="T38:T39"/>
    <mergeCell ref="AD38:AD39"/>
    <mergeCell ref="C39:E39"/>
    <mergeCell ref="F39:G39"/>
    <mergeCell ref="C40:E40"/>
    <mergeCell ref="F40:G40"/>
    <mergeCell ref="H40:H45"/>
    <mergeCell ref="K40:K41"/>
    <mergeCell ref="M40:M41"/>
    <mergeCell ref="N40:O42"/>
    <mergeCell ref="P40:Q42"/>
    <mergeCell ref="R40:S42"/>
    <mergeCell ref="T40:T41"/>
    <mergeCell ref="U40:U45"/>
    <mergeCell ref="Z40:Z42"/>
    <mergeCell ref="AD40:AD41"/>
    <mergeCell ref="C41:E41"/>
    <mergeCell ref="F41:G41"/>
    <mergeCell ref="C42:E42"/>
    <mergeCell ref="AE46:AE51"/>
    <mergeCell ref="AA49:AA51"/>
    <mergeCell ref="AB49:AB51"/>
    <mergeCell ref="AC49:AC51"/>
    <mergeCell ref="C46:E46"/>
    <mergeCell ref="F46:G46"/>
    <mergeCell ref="R46:S48"/>
    <mergeCell ref="T46:T47"/>
    <mergeCell ref="U46:U51"/>
    <mergeCell ref="Z46:Z48"/>
    <mergeCell ref="T48:T49"/>
    <mergeCell ref="F49:G49"/>
    <mergeCell ref="N49:O51"/>
    <mergeCell ref="P49:Q51"/>
    <mergeCell ref="J46:J48"/>
    <mergeCell ref="V46:V51"/>
    <mergeCell ref="W46:W51"/>
    <mergeCell ref="X46:X51"/>
    <mergeCell ref="Y46:Y51"/>
    <mergeCell ref="R49:S51"/>
    <mergeCell ref="AE58:AE63"/>
    <mergeCell ref="M60:M61"/>
    <mergeCell ref="P61:Q63"/>
    <mergeCell ref="R61:S63"/>
    <mergeCell ref="U58:U63"/>
    <mergeCell ref="M58:M59"/>
    <mergeCell ref="P58:Q60"/>
    <mergeCell ref="B56:B57"/>
    <mergeCell ref="Y52:Y57"/>
    <mergeCell ref="AE52:AE57"/>
    <mergeCell ref="J55:J57"/>
    <mergeCell ref="AA52:AA54"/>
    <mergeCell ref="B52:B53"/>
    <mergeCell ref="J52:J54"/>
    <mergeCell ref="B54:B55"/>
    <mergeCell ref="R58:S60"/>
    <mergeCell ref="X58:X63"/>
    <mergeCell ref="Y58:Y63"/>
    <mergeCell ref="V58:V63"/>
    <mergeCell ref="W58:W63"/>
    <mergeCell ref="Z58:Z60"/>
    <mergeCell ref="V52:V57"/>
    <mergeCell ref="W52:W57"/>
    <mergeCell ref="X52:X57"/>
    <mergeCell ref="AD46:AD47"/>
    <mergeCell ref="AD48:AD49"/>
    <mergeCell ref="C52:E52"/>
    <mergeCell ref="C57:E57"/>
    <mergeCell ref="C53:E53"/>
    <mergeCell ref="C54:E54"/>
    <mergeCell ref="C55:E55"/>
    <mergeCell ref="C56:E56"/>
    <mergeCell ref="F56:G56"/>
    <mergeCell ref="K56:K57"/>
    <mergeCell ref="M56:M57"/>
    <mergeCell ref="T56:T57"/>
    <mergeCell ref="AD56:AD57"/>
    <mergeCell ref="AA58:AA60"/>
    <mergeCell ref="AB58:AB60"/>
    <mergeCell ref="AC58:AC60"/>
    <mergeCell ref="AD58:AD59"/>
    <mergeCell ref="C59:E59"/>
    <mergeCell ref="F59:G59"/>
    <mergeCell ref="AD52:AD53"/>
    <mergeCell ref="AD54:AD55"/>
    <mergeCell ref="F55:G55"/>
    <mergeCell ref="N55:O57"/>
    <mergeCell ref="P55:Q57"/>
    <mergeCell ref="R55:S57"/>
    <mergeCell ref="Z55:Z57"/>
    <mergeCell ref="Z75:Z77"/>
    <mergeCell ref="J40:J42"/>
    <mergeCell ref="F42:G42"/>
    <mergeCell ref="K42:K43"/>
    <mergeCell ref="M42:M43"/>
    <mergeCell ref="F43:G43"/>
    <mergeCell ref="N43:O45"/>
    <mergeCell ref="F44:G44"/>
    <mergeCell ref="A34:A39"/>
    <mergeCell ref="A40:A45"/>
    <mergeCell ref="A46:A51"/>
    <mergeCell ref="A52:A57"/>
    <mergeCell ref="M62:M63"/>
    <mergeCell ref="AC61:AC63"/>
    <mergeCell ref="A58:A63"/>
    <mergeCell ref="B58:B59"/>
    <mergeCell ref="C58:E58"/>
    <mergeCell ref="F58:G58"/>
    <mergeCell ref="H58:H63"/>
    <mergeCell ref="J58:J60"/>
    <mergeCell ref="K58:K59"/>
    <mergeCell ref="N58:O60"/>
    <mergeCell ref="T58:T59"/>
    <mergeCell ref="H46:H51"/>
    <mergeCell ref="K46:K47"/>
    <mergeCell ref="M46:M47"/>
    <mergeCell ref="N46:O48"/>
    <mergeCell ref="P46:Q48"/>
    <mergeCell ref="C47:E47"/>
    <mergeCell ref="F47:G47"/>
    <mergeCell ref="B70:B71"/>
    <mergeCell ref="C70:E70"/>
    <mergeCell ref="F70:G70"/>
    <mergeCell ref="C71:E71"/>
    <mergeCell ref="F71:G71"/>
    <mergeCell ref="M66:M67"/>
    <mergeCell ref="M68:M69"/>
    <mergeCell ref="C48:E48"/>
    <mergeCell ref="F48:G48"/>
    <mergeCell ref="K48:K49"/>
    <mergeCell ref="M48:M49"/>
    <mergeCell ref="C49:E49"/>
    <mergeCell ref="B48:B49"/>
    <mergeCell ref="J49:J51"/>
    <mergeCell ref="B50:B51"/>
    <mergeCell ref="B46:B47"/>
    <mergeCell ref="K44:K45"/>
    <mergeCell ref="U34:U39"/>
    <mergeCell ref="Z34:Z36"/>
    <mergeCell ref="N37:O39"/>
    <mergeCell ref="P37:Q39"/>
    <mergeCell ref="R37:S39"/>
    <mergeCell ref="AC52:AC54"/>
    <mergeCell ref="M44:M45"/>
    <mergeCell ref="C45:E45"/>
    <mergeCell ref="F45:G45"/>
    <mergeCell ref="B38:B39"/>
    <mergeCell ref="AA37:AA39"/>
    <mergeCell ref="Z9:Z11"/>
    <mergeCell ref="Z12:Z14"/>
    <mergeCell ref="AA9:AA11"/>
    <mergeCell ref="AA12:AA14"/>
    <mergeCell ref="AB9:AB11"/>
    <mergeCell ref="AB12:AB14"/>
    <mergeCell ref="AC9:AC11"/>
    <mergeCell ref="AB21:AB23"/>
    <mergeCell ref="AC21:AC23"/>
    <mergeCell ref="Z24:Z26"/>
    <mergeCell ref="AA24:AA26"/>
    <mergeCell ref="AB24:AB26"/>
    <mergeCell ref="AC24:AC26"/>
    <mergeCell ref="Z27:Z29"/>
    <mergeCell ref="AA27:AA29"/>
    <mergeCell ref="AB27:AB29"/>
    <mergeCell ref="AC27:AC29"/>
    <mergeCell ref="M34:M35"/>
    <mergeCell ref="T44:T45"/>
    <mergeCell ref="AC30:AC32"/>
    <mergeCell ref="K19:K20"/>
    <mergeCell ref="F26:G26"/>
    <mergeCell ref="M9:M10"/>
    <mergeCell ref="F38:G38"/>
    <mergeCell ref="K38:K39"/>
    <mergeCell ref="F53:G53"/>
    <mergeCell ref="F54:G54"/>
    <mergeCell ref="K54:K55"/>
    <mergeCell ref="M54:M55"/>
    <mergeCell ref="T54:T55"/>
    <mergeCell ref="AB37:AB39"/>
    <mergeCell ref="AC37:AC39"/>
    <mergeCell ref="F34:G34"/>
    <mergeCell ref="K34:K35"/>
    <mergeCell ref="X34:X39"/>
    <mergeCell ref="Y34:Y39"/>
    <mergeCell ref="J34:J36"/>
    <mergeCell ref="J37:J39"/>
    <mergeCell ref="K31:K32"/>
    <mergeCell ref="M31:M32"/>
    <mergeCell ref="N30:O32"/>
    <mergeCell ref="P30:Q32"/>
    <mergeCell ref="R30:S32"/>
    <mergeCell ref="T27:T28"/>
    <mergeCell ref="W27:W32"/>
    <mergeCell ref="X27:X32"/>
    <mergeCell ref="B60:B61"/>
    <mergeCell ref="I34:I36"/>
    <mergeCell ref="I37:I39"/>
    <mergeCell ref="I40:I42"/>
    <mergeCell ref="I43:I45"/>
    <mergeCell ref="I46:I48"/>
    <mergeCell ref="I49:I51"/>
    <mergeCell ref="I52:I54"/>
    <mergeCell ref="I55:I57"/>
    <mergeCell ref="I58:I60"/>
    <mergeCell ref="I61:I63"/>
    <mergeCell ref="I66:I68"/>
    <mergeCell ref="I69:I71"/>
    <mergeCell ref="AA55:AA57"/>
    <mergeCell ref="AB55:AB57"/>
    <mergeCell ref="AC55:AC57"/>
    <mergeCell ref="AB40:AB42"/>
    <mergeCell ref="AC40:AC42"/>
    <mergeCell ref="AA43:AA45"/>
    <mergeCell ref="AB43:AB45"/>
    <mergeCell ref="AC43:AC45"/>
    <mergeCell ref="AA46:AA48"/>
    <mergeCell ref="AB46:AB48"/>
    <mergeCell ref="AC46:AC48"/>
    <mergeCell ref="F35:G35"/>
    <mergeCell ref="F36:G36"/>
    <mergeCell ref="K36:K37"/>
    <mergeCell ref="M36:M37"/>
    <mergeCell ref="T36:T37"/>
    <mergeCell ref="F37:G37"/>
    <mergeCell ref="H34:H39"/>
    <mergeCell ref="N34:O36"/>
    <mergeCell ref="P34:Q36"/>
    <mergeCell ref="R34:S36"/>
    <mergeCell ref="B34:B35"/>
    <mergeCell ref="C34:E34"/>
    <mergeCell ref="C35:E35"/>
    <mergeCell ref="B36:B37"/>
    <mergeCell ref="C36:E36"/>
    <mergeCell ref="C37:E37"/>
    <mergeCell ref="J66:J68"/>
    <mergeCell ref="N66:O68"/>
    <mergeCell ref="P66:Q68"/>
    <mergeCell ref="R66:S68"/>
    <mergeCell ref="U66:U71"/>
    <mergeCell ref="V66:V71"/>
    <mergeCell ref="W66:W71"/>
    <mergeCell ref="X66:X71"/>
    <mergeCell ref="Y66:Y71"/>
    <mergeCell ref="Z66:Z68"/>
    <mergeCell ref="AA66:AA68"/>
    <mergeCell ref="F52:G52"/>
    <mergeCell ref="H52:H57"/>
    <mergeCell ref="K52:K53"/>
    <mergeCell ref="M52:M53"/>
    <mergeCell ref="N52:O54"/>
    <mergeCell ref="P52:Q54"/>
    <mergeCell ref="R52:S54"/>
    <mergeCell ref="F57:G57"/>
    <mergeCell ref="T52:T53"/>
    <mergeCell ref="U52:U57"/>
    <mergeCell ref="Z52:Z54"/>
    <mergeCell ref="B74:B75"/>
    <mergeCell ref="C74:E74"/>
    <mergeCell ref="F74:G74"/>
    <mergeCell ref="K74:K75"/>
    <mergeCell ref="M74:M75"/>
    <mergeCell ref="T74:T75"/>
    <mergeCell ref="AD74:AD75"/>
    <mergeCell ref="C75:E75"/>
    <mergeCell ref="F75:G75"/>
    <mergeCell ref="J75:J77"/>
    <mergeCell ref="N75:O77"/>
    <mergeCell ref="P75:Q77"/>
    <mergeCell ref="R75:S77"/>
    <mergeCell ref="AC75:AC77"/>
    <mergeCell ref="Z49:Z51"/>
    <mergeCell ref="C50:E50"/>
    <mergeCell ref="F50:G50"/>
    <mergeCell ref="K50:K51"/>
    <mergeCell ref="M50:M51"/>
    <mergeCell ref="T50:T51"/>
    <mergeCell ref="AD50:AD51"/>
    <mergeCell ref="C51:E51"/>
    <mergeCell ref="F51:G51"/>
    <mergeCell ref="T34:T35"/>
    <mergeCell ref="C43:E43"/>
    <mergeCell ref="C44:E44"/>
    <mergeCell ref="AD42:AD43"/>
    <mergeCell ref="AD44:AD45"/>
    <mergeCell ref="C60:E60"/>
    <mergeCell ref="F60:G60"/>
    <mergeCell ref="K60:K61"/>
    <mergeCell ref="T60:T61"/>
    <mergeCell ref="AD60:AD61"/>
    <mergeCell ref="C61:E61"/>
    <mergeCell ref="F61:G61"/>
    <mergeCell ref="J61:J63"/>
    <mergeCell ref="N61:O63"/>
    <mergeCell ref="Z61:Z63"/>
    <mergeCell ref="AA61:AA63"/>
    <mergeCell ref="AB61:AB63"/>
    <mergeCell ref="B62:B63"/>
    <mergeCell ref="C62:E62"/>
    <mergeCell ref="F62:G62"/>
    <mergeCell ref="K62:K63"/>
    <mergeCell ref="T62:T63"/>
    <mergeCell ref="F66:G66"/>
    <mergeCell ref="K66:K67"/>
    <mergeCell ref="T66:T67"/>
    <mergeCell ref="AD66:AD67"/>
    <mergeCell ref="C67:E67"/>
    <mergeCell ref="F67:G67"/>
    <mergeCell ref="AB66:AB68"/>
    <mergeCell ref="AC66:AC68"/>
    <mergeCell ref="AD62:AD63"/>
    <mergeCell ref="C63:E63"/>
    <mergeCell ref="F63:G63"/>
    <mergeCell ref="B68:B69"/>
    <mergeCell ref="C68:E68"/>
    <mergeCell ref="F68:G68"/>
    <mergeCell ref="K68:K69"/>
    <mergeCell ref="T68:T69"/>
    <mergeCell ref="AD68:AD69"/>
    <mergeCell ref="C69:E69"/>
    <mergeCell ref="F69:G69"/>
    <mergeCell ref="AE66:AE71"/>
    <mergeCell ref="J69:J71"/>
    <mergeCell ref="N69:O71"/>
    <mergeCell ref="P69:Q71"/>
    <mergeCell ref="R69:S71"/>
    <mergeCell ref="Z69:Z71"/>
    <mergeCell ref="AA69:AA71"/>
    <mergeCell ref="AB69:AB71"/>
    <mergeCell ref="AC69:AC71"/>
    <mergeCell ref="K70:K71"/>
    <mergeCell ref="M70:M71"/>
    <mergeCell ref="T70:T71"/>
    <mergeCell ref="AD70:AD71"/>
    <mergeCell ref="J72:J74"/>
    <mergeCell ref="K72:K73"/>
    <mergeCell ref="M72:M73"/>
    <mergeCell ref="N72:O74"/>
    <mergeCell ref="P72:Q74"/>
    <mergeCell ref="R72:S74"/>
    <mergeCell ref="T72:T73"/>
    <mergeCell ref="U72:U77"/>
    <mergeCell ref="V72:V77"/>
    <mergeCell ref="T76:T77"/>
    <mergeCell ref="W72:W77"/>
    <mergeCell ref="X72:X77"/>
    <mergeCell ref="Y72:Y77"/>
    <mergeCell ref="Z72:Z74"/>
    <mergeCell ref="AA72:AA74"/>
    <mergeCell ref="AB72:AB74"/>
    <mergeCell ref="AC72:AC74"/>
    <mergeCell ref="AD72:AD73"/>
    <mergeCell ref="AE72:AE77"/>
    <mergeCell ref="AD76:AD77"/>
    <mergeCell ref="AC87:AC89"/>
    <mergeCell ref="AD88:AD89"/>
    <mergeCell ref="B76:B77"/>
    <mergeCell ref="C76:E76"/>
    <mergeCell ref="F76:G76"/>
    <mergeCell ref="K76:K77"/>
    <mergeCell ref="M76:M77"/>
    <mergeCell ref="C77:E77"/>
    <mergeCell ref="F77:G77"/>
    <mergeCell ref="A78:A83"/>
    <mergeCell ref="B78:B79"/>
    <mergeCell ref="C78:E78"/>
    <mergeCell ref="F78:G78"/>
    <mergeCell ref="H78:H83"/>
    <mergeCell ref="J78:J80"/>
    <mergeCell ref="B80:B81"/>
    <mergeCell ref="A72:A77"/>
    <mergeCell ref="B72:B73"/>
    <mergeCell ref="C72:E72"/>
    <mergeCell ref="F72:G72"/>
    <mergeCell ref="H72:H77"/>
    <mergeCell ref="AE78:AE83"/>
    <mergeCell ref="C79:E79"/>
    <mergeCell ref="F79:G79"/>
    <mergeCell ref="C80:E80"/>
    <mergeCell ref="F80:G80"/>
    <mergeCell ref="K80:K81"/>
    <mergeCell ref="M80:M81"/>
    <mergeCell ref="T80:T81"/>
    <mergeCell ref="AD80:AD81"/>
    <mergeCell ref="C81:E81"/>
    <mergeCell ref="F81:G81"/>
    <mergeCell ref="J81:J83"/>
    <mergeCell ref="N81:O83"/>
    <mergeCell ref="P81:Q83"/>
    <mergeCell ref="R81:S83"/>
    <mergeCell ref="Z81:Z83"/>
    <mergeCell ref="AA81:AA83"/>
    <mergeCell ref="K78:K79"/>
    <mergeCell ref="M78:M79"/>
    <mergeCell ref="N78:O80"/>
    <mergeCell ref="P78:Q80"/>
    <mergeCell ref="R78:S80"/>
    <mergeCell ref="T78:T79"/>
    <mergeCell ref="U78:U83"/>
    <mergeCell ref="AB81:AB83"/>
    <mergeCell ref="AC81:AC83"/>
    <mergeCell ref="B82:B83"/>
    <mergeCell ref="C82:E82"/>
    <mergeCell ref="F82:G82"/>
    <mergeCell ref="K82:K83"/>
    <mergeCell ref="M82:M83"/>
    <mergeCell ref="T82:T83"/>
    <mergeCell ref="AD82:AD83"/>
    <mergeCell ref="C83:E83"/>
    <mergeCell ref="F83:G83"/>
    <mergeCell ref="X78:X83"/>
    <mergeCell ref="Y78:Y83"/>
    <mergeCell ref="Z78:Z80"/>
    <mergeCell ref="AA78:AA80"/>
    <mergeCell ref="AB78:AB80"/>
    <mergeCell ref="AC78:AC80"/>
    <mergeCell ref="AD78:AD79"/>
    <mergeCell ref="V78:V83"/>
    <mergeCell ref="AC90:AC92"/>
    <mergeCell ref="AD90:AD91"/>
    <mergeCell ref="AE90:AE95"/>
    <mergeCell ref="C91:E91"/>
    <mergeCell ref="F91:G91"/>
    <mergeCell ref="B92:B93"/>
    <mergeCell ref="C92:E92"/>
    <mergeCell ref="F92:G92"/>
    <mergeCell ref="K92:K93"/>
    <mergeCell ref="M92:M93"/>
    <mergeCell ref="T92:T93"/>
    <mergeCell ref="AD92:AD93"/>
    <mergeCell ref="C93:E93"/>
    <mergeCell ref="F93:G93"/>
    <mergeCell ref="J93:J95"/>
    <mergeCell ref="N93:O95"/>
    <mergeCell ref="AC93:AC95"/>
    <mergeCell ref="P93:Q95"/>
    <mergeCell ref="R93:S95"/>
    <mergeCell ref="Z93:Z95"/>
    <mergeCell ref="AA93:AA95"/>
    <mergeCell ref="AB93:AB95"/>
    <mergeCell ref="AD94:AD95"/>
    <mergeCell ref="A84:A89"/>
    <mergeCell ref="B84:B85"/>
    <mergeCell ref="C84:E84"/>
    <mergeCell ref="F84:G84"/>
    <mergeCell ref="H84:H89"/>
    <mergeCell ref="J84:J86"/>
    <mergeCell ref="K84:K85"/>
    <mergeCell ref="M84:M85"/>
    <mergeCell ref="B88:B89"/>
    <mergeCell ref="C88:E88"/>
    <mergeCell ref="F88:G88"/>
    <mergeCell ref="K88:K89"/>
    <mergeCell ref="M88:M89"/>
    <mergeCell ref="C89:E89"/>
    <mergeCell ref="F89:G89"/>
    <mergeCell ref="N84:O86"/>
    <mergeCell ref="P84:Q86"/>
    <mergeCell ref="R84:S86"/>
    <mergeCell ref="T84:T85"/>
    <mergeCell ref="U84:U89"/>
    <mergeCell ref="V84:V89"/>
    <mergeCell ref="W84:W89"/>
    <mergeCell ref="X84:X89"/>
    <mergeCell ref="Y84:Y89"/>
    <mergeCell ref="T88:T89"/>
    <mergeCell ref="Z84:Z86"/>
    <mergeCell ref="AA84:AA86"/>
    <mergeCell ref="AB84:AB86"/>
    <mergeCell ref="AC84:AC86"/>
    <mergeCell ref="AD84:AD85"/>
    <mergeCell ref="AE84:AE89"/>
    <mergeCell ref="C85:E85"/>
    <mergeCell ref="F85:G85"/>
    <mergeCell ref="B86:B87"/>
    <mergeCell ref="C86:E86"/>
    <mergeCell ref="F86:G86"/>
    <mergeCell ref="K86:K87"/>
    <mergeCell ref="M86:M87"/>
    <mergeCell ref="T86:T87"/>
    <mergeCell ref="AD86:AD87"/>
    <mergeCell ref="C87:E87"/>
    <mergeCell ref="I75:I77"/>
    <mergeCell ref="I78:I80"/>
    <mergeCell ref="I81:I83"/>
    <mergeCell ref="I84:I86"/>
    <mergeCell ref="I87:I89"/>
    <mergeCell ref="I90:I92"/>
    <mergeCell ref="I93:I95"/>
    <mergeCell ref="I98:I100"/>
    <mergeCell ref="I101:I103"/>
    <mergeCell ref="AA75:AA77"/>
    <mergeCell ref="AB75:AB77"/>
    <mergeCell ref="T29:T30"/>
    <mergeCell ref="T31:T32"/>
    <mergeCell ref="Z30:Z32"/>
    <mergeCell ref="AA30:AA32"/>
    <mergeCell ref="AB30:AB32"/>
    <mergeCell ref="R21:S23"/>
    <mergeCell ref="N21:O23"/>
    <mergeCell ref="T102:T103"/>
    <mergeCell ref="AB52:AB54"/>
    <mergeCell ref="A90:A95"/>
    <mergeCell ref="B90:B91"/>
    <mergeCell ref="C90:E90"/>
    <mergeCell ref="F90:G90"/>
    <mergeCell ref="H90:H95"/>
    <mergeCell ref="J90:J92"/>
    <mergeCell ref="K90:K91"/>
    <mergeCell ref="M90:M91"/>
    <mergeCell ref="B94:B95"/>
    <mergeCell ref="C94:E94"/>
    <mergeCell ref="F94:G94"/>
    <mergeCell ref="K94:K95"/>
    <mergeCell ref="M94:M95"/>
    <mergeCell ref="C95:E95"/>
    <mergeCell ref="F95:G95"/>
    <mergeCell ref="N90:O92"/>
    <mergeCell ref="P90:Q92"/>
    <mergeCell ref="R90:S92"/>
    <mergeCell ref="T90:T91"/>
    <mergeCell ref="U90:U95"/>
    <mergeCell ref="V90:V95"/>
    <mergeCell ref="W90:W95"/>
    <mergeCell ref="X90:X95"/>
    <mergeCell ref="Y90:Y95"/>
    <mergeCell ref="T94:T95"/>
    <mergeCell ref="Z90:Z92"/>
    <mergeCell ref="AA90:AA92"/>
    <mergeCell ref="AB90:AB92"/>
    <mergeCell ref="F87:G87"/>
    <mergeCell ref="J87:J89"/>
    <mergeCell ref="N87:O89"/>
    <mergeCell ref="P87:Q89"/>
    <mergeCell ref="R87:S89"/>
    <mergeCell ref="Z87:Z89"/>
    <mergeCell ref="AA87:AA89"/>
    <mergeCell ref="AB87:AB89"/>
    <mergeCell ref="W78:W83"/>
    <mergeCell ref="I72:I74"/>
    <mergeCell ref="A66:A71"/>
    <mergeCell ref="B66:B67"/>
    <mergeCell ref="C66:E66"/>
    <mergeCell ref="H66:H71"/>
    <mergeCell ref="C73:E73"/>
    <mergeCell ref="F73:G73"/>
  </mergeCells>
  <pageMargins left="3.937007874015748E-2" right="3.937007874015748E-2" top="0.39370078740157483" bottom="0.39370078740157483" header="0.39370078740157483" footer="0.39370078740157483"/>
  <pageSetup paperSize="9" orientation="landscape" r:id="rId1"/>
  <headerFoot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8417b2fb-54a7-4fbc-b023-b6b37b7a623f" origin="defaultValue">
  <element uid="d7220eed-17a6-431d-810c-83a0ddfed893" value=""/>
</sisl>
</file>

<file path=customXml/itemProps1.xml><?xml version="1.0" encoding="utf-8"?>
<ds:datastoreItem xmlns:ds="http://schemas.openxmlformats.org/officeDocument/2006/customXml" ds:itemID="{DFA06185-CDAC-466F-B45F-B2045FDA0FE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KEL</vt:lpstr>
    </vt:vector>
  </TitlesOfParts>
  <Company>Resort Obrony Narodowej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Sroka Katarzyna</dc:creator>
  <cp:lastModifiedBy>Kubić Daniel</cp:lastModifiedBy>
  <cp:lastPrinted>2025-03-13T10:55:34Z</cp:lastPrinted>
  <dcterms:created xsi:type="dcterms:W3CDTF">2024-01-03T09:40:09Z</dcterms:created>
  <dcterms:modified xsi:type="dcterms:W3CDTF">2026-03-05T07:18:52Z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5bfdca04-18fe-4bdc-957f-0a8845655c8e</vt:lpwstr>
  </property>
  <property fmtid="{D5CDD505-2E9C-101B-9397-08002B2CF9AE}" pid="3" name="bjDocumentSecurityLabel">
    <vt:lpwstr>[d7220eed-17a6-431d-810c-83a0ddfed893]</vt:lpwstr>
  </property>
  <property fmtid="{D5CDD505-2E9C-101B-9397-08002B2CF9AE}" pid="4" name="s5636:Creator type=author">
    <vt:lpwstr>Sroka Katarzyna</vt:lpwstr>
  </property>
  <property fmtid="{D5CDD505-2E9C-101B-9397-08002B2CF9AE}" pid="5" name="s5636:Creator type=organization">
    <vt:lpwstr>MILNET-Z</vt:lpwstr>
  </property>
  <property fmtid="{D5CDD505-2E9C-101B-9397-08002B2CF9AE}" pid="6" name="bjPortionMark">
    <vt:lpwstr>[JAW]</vt:lpwstr>
  </property>
  <property fmtid="{D5CDD505-2E9C-101B-9397-08002B2CF9AE}" pid="7" name="bjSaver">
    <vt:lpwstr>aWook61Ynf/faqgZh+tYzy8vGn8X2bOo</vt:lpwstr>
  </property>
  <property fmtid="{D5CDD505-2E9C-101B-9397-08002B2CF9AE}" pid="8" name="bjClsUserRVM">
    <vt:lpwstr>[]</vt:lpwstr>
  </property>
  <property fmtid="{D5CDD505-2E9C-101B-9397-08002B2CF9AE}" pid="9" name="bjpmDocIH">
    <vt:lpwstr>zYQ4Zgx1H4HRbx8DlUxUA4HQBx7nR7Ss</vt:lpwstr>
  </property>
  <property fmtid="{D5CDD505-2E9C-101B-9397-08002B2CF9AE}" pid="10" name="bjDocumentLabelXML">
    <vt:lpwstr>&lt;?xml version="1.0" encoding="us-ascii"?&gt;&lt;sisl xmlns:xsd="http://www.w3.org/2001/XMLSchema" xmlns:xsi="http://www.w3.org/2001/XMLSchema-instance" sislVersion="0" policy="8417b2fb-54a7-4fbc-b023-b6b37b7a623f" origin="defaultValue" xmlns="http://www.boldonj</vt:lpwstr>
  </property>
  <property fmtid="{D5CDD505-2E9C-101B-9397-08002B2CF9AE}" pid="11" name="bjDocumentLabelXML-0">
    <vt:lpwstr>ames.com/2008/01/sie/internal/label"&gt;&lt;element uid="d7220eed-17a6-431d-810c-83a0ddfed893" value="" /&gt;&lt;/sisl&gt;</vt:lpwstr>
  </property>
  <property fmtid="{D5CDD505-2E9C-101B-9397-08002B2CF9AE}" pid="12" name="s5636:Creator type=IP">
    <vt:lpwstr>10.80.154.24</vt:lpwstr>
  </property>
</Properties>
</file>